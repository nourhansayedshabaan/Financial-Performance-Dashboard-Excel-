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etail1" sheetId="2" state="visible" r:id="rId2"/>
    <sheet xmlns:r="http://schemas.openxmlformats.org/officeDocument/2006/relationships" name="Detail2" sheetId="3" state="visible" r:id="rId3"/>
    <sheet xmlns:r="http://schemas.openxmlformats.org/officeDocument/2006/relationships" name="Sheet7" sheetId="4" state="visible" r:id="rId4"/>
    <sheet xmlns:r="http://schemas.openxmlformats.org/officeDocument/2006/relationships" name="Financials" sheetId="5" state="visible" r:id="rId5"/>
    <sheet xmlns:r="http://schemas.openxmlformats.org/officeDocument/2006/relationships" name="Calc" sheetId="6" state="visible" r:id="rId6"/>
    <sheet xmlns:r="http://schemas.openxmlformats.org/officeDocument/2006/relationships" name="Lists" sheetId="7" state="visible" r:id="rId7"/>
    <sheet xmlns:r="http://schemas.openxmlformats.org/officeDocument/2006/relationships" name="Notes" sheetId="8" state="visible" r:id="rId8"/>
  </sheets>
  <definedNames>
    <definedName name="_xlnm.Print_Area" localSheetId="0">'Dashboard'!$A$1:$Z$95</definedName>
    <definedName name="ExternalData_1" localSheetId="4" hidden="1">Financials!$A$1:$P$696</definedName>
  </definedNames>
  <calcPr calcId="191029" fullCalcOnLoad="1"/>
  <pivotCaches>
    <pivotCache xmlns:r="http://schemas.openxmlformats.org/officeDocument/2006/relationships" cacheId="4" r:id="rId9"/>
  </pivotCaches>
</workbook>
</file>

<file path=xl/styles.xml><?xml version="1.0" encoding="utf-8"?>
<styleSheet xmlns="http://schemas.openxmlformats.org/spreadsheetml/2006/main">
  <numFmts count="10">
    <numFmt numFmtId="164" formatCode="_(&quot;$&quot;* #,##0.00_);_(&quot;$&quot;* \(#,##0.00\);_(&quot;$&quot;* &quot;-&quot;??_);_(@_)"/>
    <numFmt numFmtId="165" formatCode="0.0%"/>
    <numFmt numFmtId="166" formatCode="0.0"/>
    <numFmt numFmtId="167" formatCode="$0.00&quot;M&quot;;-$0.00&quot;M&quot;;;"/>
    <numFmt numFmtId="168" formatCode="$#,##0.00"/>
    <numFmt numFmtId="169" formatCode="$#,##0.0,,&quot;M&quot;"/>
    <numFmt numFmtId="170" formatCode="$#,##0.00,,&quot;M&quot;;-$#,##0.00,,&quot;M&quot;"/>
    <numFmt numFmtId="171" formatCode="0.0%;-0.0%"/>
    <numFmt numFmtId="172" formatCode="$#,##0.00,,&quot;M&quot;;[Red]-$#,##0.00,,&quot;M&quot;"/>
    <numFmt numFmtId="173" formatCode="0.0%;[Red]-0.0%"/>
  </numFmts>
  <fonts count="2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b val="1"/>
    </font>
    <font>
      <name val="Arial"/>
    </font>
    <font>
      <name val="Arial"/>
      <i val="1"/>
      <color rgb="006B7785"/>
    </font>
    <font>
      <name val="Arial"/>
      <b val="1"/>
      <sz val="11"/>
    </font>
    <font>
      <name val="Arial"/>
      <sz val="9"/>
    </font>
    <font>
      <name val="Arial"/>
      <b val="1"/>
      <sz val="9"/>
    </font>
    <font>
      <name val="Arial"/>
      <b val="1"/>
      <color rgb="001F3A5F"/>
      <sz val="20"/>
    </font>
    <font>
      <name val="Arial"/>
      <color rgb="006B7785"/>
      <sz val="9"/>
    </font>
    <font>
      <name val="Arial"/>
      <b val="1"/>
      <color rgb="006B7785"/>
      <sz val="8"/>
    </font>
    <font>
      <name val="Arial"/>
      <b val="1"/>
      <color rgb="001F3A5F"/>
      <sz val="11"/>
    </font>
    <font>
      <name val="Arial"/>
      <i val="1"/>
      <color rgb="006B7785"/>
      <sz val="8"/>
    </font>
    <font>
      <name val="Arial"/>
      <b val="1"/>
      <color rgb="00FFFFFF"/>
      <sz val="10"/>
    </font>
    <font>
      <name val="Arial"/>
      <color rgb="006B7785"/>
      <sz val="8"/>
    </font>
    <font>
      <name val="Arial"/>
      <b val="1"/>
      <color rgb="006B7785"/>
      <sz val="9"/>
    </font>
    <font>
      <name val="Arial"/>
      <b val="1"/>
      <color rgb="001F3A5F"/>
      <sz val="10"/>
    </font>
    <font>
      <name val="Arial"/>
      <color rgb="001B2733"/>
      <sz val="9"/>
    </font>
    <font>
      <name val="Arial"/>
      <b val="1"/>
      <color rgb="001B2733"/>
      <sz val="9"/>
    </font>
    <font>
      <name val="Arial"/>
      <b val="1"/>
      <color rgb="001F3A5F"/>
      <sz val="9"/>
    </font>
    <font>
      <name val="Arial"/>
      <b val="1"/>
      <color rgb="00C0392B"/>
      <sz val="9"/>
    </font>
    <font>
      <name val="Arial"/>
      <b val="1"/>
      <color rgb="001F3A5F"/>
      <sz val="14"/>
    </font>
    <font>
      <name val="Arial"/>
      <b val="1"/>
      <color rgb="001B2733"/>
      <sz val="10"/>
    </font>
    <font>
      <name val="Arial"/>
      <color rgb="001B2733"/>
      <sz val="10"/>
    </font>
  </fonts>
  <fills count="5">
    <fill>
      <patternFill/>
    </fill>
    <fill>
      <patternFill patternType="gray125"/>
    </fill>
    <fill>
      <patternFill patternType="solid">
        <fgColor rgb="00F3F5F8"/>
      </patternFill>
    </fill>
    <fill>
      <patternFill patternType="solid">
        <fgColor rgb="00FFFFFF"/>
      </patternFill>
    </fill>
    <fill>
      <patternFill patternType="solid">
        <fgColor rgb="001F3A5F"/>
      </patternFill>
    </fill>
  </fills>
  <borders count="33">
    <border>
      <left/>
      <right/>
      <top/>
      <bottom/>
      <diagonal/>
    </border>
    <border>
      <left style="thin">
        <color rgb="00D5DBE3"/>
      </left>
      <top style="thin">
        <color rgb="00D5DBE3"/>
      </top>
      <bottom style="thin">
        <color rgb="00D5DBE3"/>
      </bottom>
    </border>
    <border>
      <top style="thin">
        <color rgb="00D5DBE3"/>
      </top>
      <bottom style="thin">
        <color rgb="00D5DBE3"/>
      </bottom>
    </border>
    <border>
      <right style="thin">
        <color rgb="00D5DBE3"/>
      </right>
      <top style="thin">
        <color rgb="00D5DBE3"/>
      </top>
      <bottom style="thin">
        <color rgb="00D5DBE3"/>
      </bottom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  <border>
      <left/>
      <right/>
      <top style="thin">
        <color rgb="00D5DBE3"/>
      </top>
      <bottom/>
      <diagonal/>
    </border>
    <border>
      <left/>
      <right style="thin">
        <color rgb="00D5DBE3"/>
      </right>
      <top style="thin">
        <color rgb="00D5DBE3"/>
      </top>
      <bottom/>
      <diagonal/>
    </border>
    <border>
      <left/>
      <right/>
      <top style="thin">
        <color rgb="00D5DBE3"/>
      </top>
      <bottom style="thin">
        <color rgb="00D5DBE3"/>
      </bottom>
      <diagonal/>
    </border>
    <border>
      <left/>
      <right style="thin">
        <color rgb="00D5DBE3"/>
      </right>
      <top style="thin">
        <color rgb="00D5DBE3"/>
      </top>
      <bottom style="thin">
        <color rgb="00D5DBE3"/>
      </bottom>
      <diagonal/>
    </border>
    <border>
      <left style="thin">
        <color rgb="00D5DBE3"/>
      </left>
      <top style="thin">
        <color rgb="00D5DBE3"/>
      </top>
    </border>
    <border>
      <top style="thin">
        <color rgb="00D5DBE3"/>
      </top>
    </border>
    <border>
      <right style="thin">
        <color rgb="00D5DBE3"/>
      </right>
      <top style="thin">
        <color rgb="00D5DBE3"/>
      </top>
    </border>
    <border>
      <left style="thin">
        <color rgb="00D5DBE3"/>
      </left>
    </border>
    <border/>
    <border>
      <right style="thin">
        <color rgb="00D5DBE3"/>
      </right>
    </border>
    <border>
      <left style="thin">
        <color rgb="00D5DBE3"/>
      </left>
      <bottom style="thin">
        <color rgb="00D5DBE3"/>
      </bottom>
    </border>
    <border>
      <bottom style="thin">
        <color rgb="00D5DBE3"/>
      </bottom>
    </border>
    <border>
      <right style="thin">
        <color rgb="00D5DBE3"/>
      </right>
      <bottom style="thin">
        <color rgb="00D5DBE3"/>
      </bottom>
    </border>
    <border>
      <left style="thick">
        <color rgb="001F3A5F"/>
      </left>
      <top style="thin">
        <color rgb="00D5DBE3"/>
      </top>
    </border>
    <border>
      <left style="thick">
        <color rgb="001F3A5F"/>
      </left>
    </border>
    <border>
      <left style="thick">
        <color rgb="001F3A5F"/>
      </left>
      <bottom style="thin">
        <color rgb="00D5DBE3"/>
      </bottom>
    </border>
    <border>
      <left style="thick">
        <color rgb="001F3A5F"/>
      </left>
      <right style="thin">
        <color rgb="00D5DBE3"/>
      </right>
      <top style="thin">
        <color rgb="00D5DBE3"/>
      </top>
    </border>
    <border>
      <left style="thick">
        <color rgb="001F3A5F"/>
      </left>
      <right style="thin">
        <color rgb="00D5DBE3"/>
      </right>
    </border>
    <border>
      <left style="thick">
        <color rgb="001F3A5F"/>
      </left>
      <right/>
      <top/>
      <bottom/>
      <diagonal/>
    </border>
    <border>
      <left/>
      <right style="thin">
        <color rgb="00D5DBE3"/>
      </right>
      <top/>
      <bottom/>
      <diagonal/>
    </border>
    <border>
      <left style="thick">
        <color rgb="001F3A5F"/>
      </left>
      <right style="thin">
        <color rgb="00D5DBE3"/>
      </right>
      <bottom style="thin">
        <color rgb="00D5DBE3"/>
      </bottom>
    </border>
    <border>
      <left/>
      <right/>
      <top/>
      <bottom style="thin">
        <color rgb="00D5DBE3"/>
      </bottom>
      <diagonal/>
    </border>
    <border>
      <left/>
      <right style="thin">
        <color rgb="00D5DBE3"/>
      </right>
      <top/>
      <bottom style="thin">
        <color rgb="00D5DBE3"/>
      </bottom>
      <diagonal/>
    </border>
    <border>
      <left style="thin">
        <color rgb="00D5DBE3"/>
      </left>
      <right style="thin">
        <color rgb="00D5DBE3"/>
      </right>
      <top style="thin">
        <color rgb="00D5DBE3"/>
      </top>
    </border>
    <border>
      <left style="thin">
        <color rgb="00D5DBE3"/>
      </left>
      <right style="thin">
        <color rgb="00D5DBE3"/>
      </right>
    </border>
    <border>
      <left style="thin">
        <color rgb="00D5DBE3"/>
      </left>
      <right style="thin">
        <color rgb="00D5DBE3"/>
      </right>
      <bottom style="thin">
        <color rgb="00D5DBE3"/>
      </bottom>
    </border>
    <border>
      <left style="thin">
        <color rgb="00D5DBE3"/>
      </left>
      <right/>
      <top/>
      <bottom/>
      <diagonal/>
    </border>
    <border>
      <left style="thin">
        <color rgb="00D5DBE3"/>
      </left>
      <right/>
      <top/>
      <bottom style="thin">
        <color rgb="00D5DBE3"/>
      </bottom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87">
    <xf numFmtId="0" fontId="0" fillId="0" borderId="0" pivotButton="0" quotePrefix="0" xfId="0"/>
    <xf numFmtId="14" fontId="0" fillId="0" borderId="0" pivotButton="0" quotePrefix="0" xfId="0"/>
    <xf numFmtId="10" fontId="0" fillId="0" borderId="0" pivotButton="0" quotePrefix="0" xfId="0"/>
    <xf numFmtId="9" fontId="0" fillId="0" borderId="0" pivotButton="0" quotePrefix="0" xfId="3"/>
    <xf numFmtId="164" fontId="0" fillId="0" borderId="0" pivotButton="0" quotePrefix="0" xfId="2"/>
    <xf numFmtId="0" fontId="0" fillId="0" borderId="0" pivotButton="0" quotePrefix="0" xfId="3"/>
    <xf numFmtId="165" fontId="0" fillId="0" borderId="0" pivotButton="0" quotePrefix="0" xfId="3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43" fontId="0" fillId="0" borderId="0" pivotButton="0" quotePrefix="0" xfId="1"/>
    <xf numFmtId="43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2" fillId="0" borderId="0" pivotButton="0" quotePrefix="0" xfId="0"/>
    <xf numFmtId="0" fontId="0" fillId="2" borderId="0" pivotButton="0" quotePrefix="0" xfId="0"/>
    <xf numFmtId="0" fontId="9" fillId="2" borderId="0" applyAlignment="1" pivotButton="0" quotePrefix="0" xfId="0">
      <alignment horizontal="left" vertical="center" indent="1"/>
    </xf>
    <xf numFmtId="0" fontId="10" fillId="2" borderId="0" applyAlignment="1" pivotButton="0" quotePrefix="0" xfId="0">
      <alignment horizontal="left" vertical="center" indent="1"/>
    </xf>
    <xf numFmtId="0" fontId="11" fillId="2" borderId="0" applyAlignment="1" pivotButton="0" quotePrefix="0" xfId="0">
      <alignment horizontal="left" vertical="center" indent="1"/>
    </xf>
    <xf numFmtId="0" fontId="12" fillId="3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3" fillId="2" borderId="0" applyAlignment="1" pivotButton="0" quotePrefix="0" xfId="0">
      <alignment horizontal="left" vertical="center" indent="1"/>
    </xf>
    <xf numFmtId="0" fontId="14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11" fillId="3" borderId="21" applyAlignment="1" pivotButton="0" quotePrefix="0" xfId="0">
      <alignment horizontal="left" vertical="center" indent="1"/>
    </xf>
    <xf numFmtId="0" fontId="0" fillId="0" borderId="5" pivotButton="0" quotePrefix="0" xfId="0"/>
    <xf numFmtId="0" fontId="0" fillId="0" borderId="6" pivotButton="0" quotePrefix="0" xfId="0"/>
    <xf numFmtId="169" fontId="9" fillId="3" borderId="22" applyAlignment="1" pivotButton="0" quotePrefix="0" xfId="0">
      <alignment horizontal="left" vertical="center" indent="1"/>
    </xf>
    <xf numFmtId="0" fontId="0" fillId="0" borderId="24" pivotButton="0" quotePrefix="0" xfId="0"/>
    <xf numFmtId="170" fontId="9" fillId="3" borderId="22" applyAlignment="1" pivotButton="0" quotePrefix="0" xfId="0">
      <alignment horizontal="left" vertical="center" indent="1"/>
    </xf>
    <xf numFmtId="165" fontId="9" fillId="3" borderId="22" applyAlignment="1" pivotButton="0" quotePrefix="0" xfId="0">
      <alignment horizontal="left" vertical="center" indent="1"/>
    </xf>
    <xf numFmtId="3" fontId="9" fillId="3" borderId="22" applyAlignment="1" pivotButton="0" quotePrefix="0" xfId="0">
      <alignment horizontal="left" vertical="center" indent="1"/>
    </xf>
    <xf numFmtId="0" fontId="0" fillId="0" borderId="23" pivotButton="0" quotePrefix="0" xfId="0"/>
    <xf numFmtId="0" fontId="15" fillId="3" borderId="22" applyAlignment="1" pivotButton="0" quotePrefix="0" xfId="0">
      <alignment horizontal="left" vertical="center" indent="1"/>
    </xf>
    <xf numFmtId="0" fontId="16" fillId="3" borderId="25" applyAlignment="1" pivotButton="0" quotePrefix="0" xfId="0">
      <alignment horizontal="left" vertical="center" indent="1"/>
    </xf>
    <xf numFmtId="0" fontId="0" fillId="0" borderId="26" pivotButton="0" quotePrefix="0" xfId="0"/>
    <xf numFmtId="0" fontId="0" fillId="0" borderId="27" pivotButton="0" quotePrefix="0" xfId="0"/>
    <xf numFmtId="0" fontId="17" fillId="3" borderId="28" applyAlignment="1" pivotButton="0" quotePrefix="0" xfId="0">
      <alignment vertical="center" wrapText="1" indent="1"/>
    </xf>
    <xf numFmtId="0" fontId="0" fillId="3" borderId="12" pivotButton="0" quotePrefix="0" xfId="0"/>
    <xf numFmtId="0" fontId="0" fillId="3" borderId="13" pivotButton="0" quotePrefix="0" xfId="0"/>
    <xf numFmtId="0" fontId="0" fillId="3" borderId="14" pivotButton="0" quotePrefix="0" xfId="0"/>
    <xf numFmtId="0" fontId="0" fillId="3" borderId="15" pivotButton="0" quotePrefix="0" xfId="0"/>
    <xf numFmtId="0" fontId="0" fillId="3" borderId="16" pivotButton="0" quotePrefix="0" xfId="0"/>
    <xf numFmtId="0" fontId="0" fillId="3" borderId="17" pivotButton="0" quotePrefix="0" xfId="0"/>
    <xf numFmtId="0" fontId="17" fillId="3" borderId="28" applyAlignment="1" pivotButton="0" quotePrefix="0" xfId="0">
      <alignment horizontal="left" vertical="center" indent="1"/>
    </xf>
    <xf numFmtId="0" fontId="11" fillId="3" borderId="12" applyAlignment="1" pivotButton="0" quotePrefix="0" xfId="0">
      <alignment horizontal="left" vertical="center" indent="1"/>
    </xf>
    <xf numFmtId="0" fontId="11" fillId="3" borderId="13" applyAlignment="1" pivotButton="0" quotePrefix="0" xfId="0">
      <alignment horizontal="center" vertical="center"/>
    </xf>
    <xf numFmtId="0" fontId="11" fillId="3" borderId="14" applyAlignment="1" pivotButton="0" quotePrefix="0" xfId="0">
      <alignment horizontal="center" vertical="center"/>
    </xf>
    <xf numFmtId="0" fontId="18" fillId="3" borderId="12" applyAlignment="1" pivotButton="0" quotePrefix="0" xfId="0">
      <alignment horizontal="left" vertical="center" indent="1"/>
    </xf>
    <xf numFmtId="171" fontId="18" fillId="3" borderId="13" applyAlignment="1" pivotButton="0" quotePrefix="0" xfId="0">
      <alignment horizontal="center" vertical="center"/>
    </xf>
    <xf numFmtId="171" fontId="18" fillId="3" borderId="14" applyAlignment="1" pivotButton="0" quotePrefix="0" xfId="0">
      <alignment horizontal="center" vertical="center"/>
    </xf>
    <xf numFmtId="169" fontId="18" fillId="3" borderId="13" applyAlignment="1" pivotButton="0" quotePrefix="0" xfId="0">
      <alignment horizontal="center" vertical="center"/>
    </xf>
    <xf numFmtId="172" fontId="18" fillId="3" borderId="13" applyAlignment="1" pivotButton="0" quotePrefix="0" xfId="0">
      <alignment horizontal="center" vertical="center"/>
    </xf>
    <xf numFmtId="173" fontId="18" fillId="3" borderId="13" applyAlignment="1" pivotButton="0" quotePrefix="0" xfId="0">
      <alignment horizontal="center" vertical="center"/>
    </xf>
    <xf numFmtId="173" fontId="18" fillId="3" borderId="14" applyAlignment="1" pivotButton="0" quotePrefix="0" xfId="0">
      <alignment horizontal="center" vertical="center"/>
    </xf>
    <xf numFmtId="0" fontId="19" fillId="3" borderId="12" applyAlignment="1" pivotButton="0" quotePrefix="0" xfId="0">
      <alignment horizontal="left" vertical="center" indent="1"/>
    </xf>
    <xf numFmtId="171" fontId="19" fillId="3" borderId="13" applyAlignment="1" pivotButton="0" quotePrefix="0" xfId="0">
      <alignment horizontal="center" vertical="center"/>
    </xf>
    <xf numFmtId="171" fontId="19" fillId="3" borderId="14" applyAlignment="1" pivotButton="0" quotePrefix="0" xfId="0">
      <alignment horizontal="center" vertical="center"/>
    </xf>
    <xf numFmtId="0" fontId="13" fillId="3" borderId="29" applyAlignment="1" pivotButton="0" quotePrefix="0" xfId="0">
      <alignment horizontal="left" vertical="center" wrapText="1"/>
    </xf>
    <xf numFmtId="168" fontId="20" fillId="3" borderId="14" applyAlignment="1" pivotButton="0" quotePrefix="0" xfId="0">
      <alignment horizontal="right" vertical="center"/>
    </xf>
    <xf numFmtId="165" fontId="20" fillId="3" borderId="14" applyAlignment="1" pivotButton="0" quotePrefix="0" xfId="0">
      <alignment horizontal="right" vertical="center"/>
    </xf>
    <xf numFmtId="0" fontId="21" fillId="3" borderId="14" applyAlignment="1" pivotButton="0" quotePrefix="0" xfId="0">
      <alignment horizontal="right" vertical="center"/>
    </xf>
    <xf numFmtId="3" fontId="20" fillId="3" borderId="14" applyAlignment="1" pivotButton="0" quotePrefix="0" xfId="0">
      <alignment horizontal="right" vertical="center"/>
    </xf>
    <xf numFmtId="0" fontId="13" fillId="3" borderId="30" applyAlignment="1" pivotButton="0" quotePrefix="0" xfId="0">
      <alignment horizontal="left" vertical="top" wrapText="1"/>
    </xf>
    <xf numFmtId="0" fontId="0" fillId="0" borderId="31" pivotButton="0" quotePrefix="0" xfId="0"/>
    <xf numFmtId="0" fontId="0" fillId="0" borderId="32" pivotButton="0" quotePrefix="0" xfId="0"/>
    <xf numFmtId="0" fontId="20" fillId="3" borderId="28" applyAlignment="1" pivotButton="0" quotePrefix="0" xfId="0">
      <alignment horizontal="left" vertical="center" indent="1"/>
    </xf>
    <xf numFmtId="0" fontId="18" fillId="3" borderId="30" applyAlignment="1" pivotButton="0" quotePrefix="0" xfId="0">
      <alignment vertical="top" wrapText="1" indent="1"/>
    </xf>
    <xf numFmtId="164" fontId="0" fillId="0" borderId="0" pivotButton="0" quotePrefix="0" xfId="0"/>
    <xf numFmtId="164" fontId="0" fillId="0" borderId="0" pivotButton="0" quotePrefix="0" xfId="2"/>
    <xf numFmtId="165" fontId="0" fillId="0" borderId="0" pivotButton="0" quotePrefix="0" xfId="3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3" fontId="7" fillId="0" borderId="0" pivotButton="0" quotePrefix="0" xfId="0"/>
    <xf numFmtId="165" fontId="7" fillId="0" borderId="0" pivotButton="0" quotePrefix="0" xfId="0"/>
    <xf numFmtId="1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8" fontId="7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22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</cellXfs>
  <cellStyles count="4">
    <cellStyle name="Normal" xfId="0" builtinId="0"/>
    <cellStyle name="Comma" xfId="1" builtinId="3"/>
    <cellStyle name="Currency" xfId="2" builtinId="4"/>
    <cellStyle name="Percent" xfId="3" builtinId="5"/>
  </cellStyles>
  <dxfs count="17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Arial"/>
        <b val="1"/>
        <color rgb="002E7D32"/>
      </font>
    </dxf>
    <dxf>
      <font>
        <name val="Arial"/>
        <b val="1"/>
        <color rgb="00C0392B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pivotCacheDefinition" Target="/xl/pivotCache/pivotCacheDefinition1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v>Net sales</v>
          </tx>
          <spPr>
            <a:solidFill xmlns:a="http://schemas.openxmlformats.org/drawingml/2006/main">
              <a:srgbClr val="A9B8CC"/>
            </a:solidFill>
            <a:ln xmlns:a="http://schemas.openxmlformats.org/drawingml/2006/main">
              <a:noFill/>
              <a:prstDash val="solid"/>
            </a:ln>
          </spPr>
          <cat>
            <numRef>
              <f>'Calc'!$A$36:$A$51</f>
            </numRef>
          </cat>
          <val>
            <numRef>
              <f>'Calc'!$D$36:$D$51</f>
            </numRef>
          </val>
        </ser>
        <ser>
          <idx val="1"/>
          <order val="1"/>
          <tx>
            <v>Profit</v>
          </tx>
          <spPr>
            <a:solidFill xmlns:a="http://schemas.openxmlformats.org/drawingml/2006/main">
              <a:srgbClr val="1F3A5F"/>
            </a:solidFill>
            <a:ln xmlns:a="http://schemas.openxmlformats.org/drawingml/2006/main">
              <a:noFill/>
              <a:prstDash val="solid"/>
            </a:ln>
          </spPr>
          <cat>
            <numRef>
              <f>'Calc'!$A$36:$A$51</f>
            </numRef>
          </cat>
          <val>
            <numRef>
              <f>'Calc'!$E$36:$E$51</f>
            </numRef>
          </val>
        </ser>
        <gapWidth val="60"/>
        <axId val="10"/>
        <axId val="100"/>
      </barChart>
      <lineChart>
        <grouping val="standard"/>
        <ser>
          <idx val="2"/>
          <order val="2"/>
          <tx>
            <v>Profit margin (right axis)</v>
          </tx>
          <spPr>
            <a:ln xmlns:a="http://schemas.openxmlformats.org/drawingml/2006/main" w="28000">
              <a:solidFill>
                <a:srgbClr val="D98E0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D98E04"/>
              </a:solidFill>
              <a:ln xmlns:a="http://schemas.openxmlformats.org/drawingml/2006/main">
                <a:solidFill>
                  <a:srgbClr val="D98E04"/>
                </a:solidFill>
                <a:prstDash val="solid"/>
              </a:ln>
            </spPr>
          </marker>
          <val>
            <numRef>
              <f>'Calc'!$F$36:$F$51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785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785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AF0"/>
              </a:solidFill>
              <a:prstDash val="solid"/>
            </a:ln>
          </spPr>
        </majorGridlines>
        <numFmt formatCode="$0,,&quot;M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785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785"/>
              </a:solidFill>
              <a:latin typeface="Arial"/>
            </a:endParaRPr>
          </a:p>
        </txPr>
        <crossAx val="10"/>
      </valAx>
      <valAx>
        <axId val="200"/>
        <scaling>
          <orientation val="minMax"/>
          <max val="0.3"/>
          <min val="0"/>
        </scaling>
        <delete val="0"/>
        <axPos val="l"/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785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785"/>
              </a:solidFill>
              <a:latin typeface="Arial"/>
            </a:endParaRPr>
          </a:p>
        </txPr>
        <crossAx val="10"/>
        <crosses val="max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6B7785"/>
              </a:solidFill>
              <a:latin typeface="Arial"/>
            </a:defRPr>
          </a:pPr>
          <a:r>
            <a:t/>
          </a:r>
          <a:endParaRPr sz="900" b="0">
            <a:solidFill>
              <a:srgbClr val="6B7785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'Calc'!$A$104:$A$107</f>
            </numRef>
          </cat>
          <val>
            <numRef>
              <f>'Calc'!$B$104:$B$107</f>
            </numRef>
          </val>
        </ser>
        <ser>
          <idx val="1"/>
          <order val="1"/>
          <tx>
            <v>Total</v>
          </tx>
          <spPr>
            <a:solidFill xmlns:a="http://schemas.openxmlformats.org/drawingml/2006/main">
              <a:srgbClr val="1F3A5F"/>
            </a:solidFill>
            <a:ln xmlns:a="http://schemas.openxmlformats.org/drawingml/2006/main">
              <a:noFill/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FFFFFF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FFFFFF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'Calc'!$A$104:$A$107</f>
            </numRef>
          </cat>
          <val>
            <numRef>
              <f>'Calc'!$C$104:$C$107</f>
            </numRef>
          </val>
        </ser>
        <ser>
          <idx val="2"/>
          <order val="2"/>
          <tx>
            <v>Deduction</v>
          </tx>
          <spPr>
            <a:solidFill xmlns:a="http://schemas.openxmlformats.org/drawingml/2006/main">
              <a:srgbClr val="9AA5B1"/>
            </a:solidFill>
            <a:ln xmlns:a="http://schemas.openxmlformats.org/drawingml/2006/main">
              <a:noFill/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B2733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B2733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'Calc'!$A$104:$A$107</f>
            </numRef>
          </cat>
          <val>
            <numRef>
              <f>'Calc'!$D$104:$D$107</f>
            </numRef>
          </val>
        </ser>
        <ser>
          <idx val="3"/>
          <order val="3"/>
          <tx>
            <v>Loss below zero</v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noFill/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B2733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B2733"/>
                  </a:solidFill>
                  <a:latin typeface="Arial"/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'Calc'!$A$104:$A$107</f>
            </numRef>
          </cat>
          <val>
            <numRef>
              <f>'Calc'!$E$104:$E$107</f>
            </numRef>
          </val>
        </ser>
        <gapWidth val="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785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785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AF0"/>
              </a:solidFill>
              <a:prstDash val="solid"/>
            </a:ln>
          </spPr>
        </majorGridlines>
        <numFmt formatCode="$0&quot;M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785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785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v>Profit</v>
          </tx>
          <spPr>
            <a:solidFill xmlns:a="http://schemas.openxmlformats.org/drawingml/2006/main">
              <a:srgbClr val="1F3A5F"/>
            </a:solidFill>
            <a:ln xmlns:a="http://schemas.openxmlformats.org/drawingml/2006/main">
              <a:noFill/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B2733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B2733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'Calc'!$A$56:$A$60</f>
            </numRef>
          </cat>
          <val>
            <numRef>
              <f>'Calc'!$E$56:$E$60</f>
            </numRef>
          </val>
        </ser>
        <ser>
          <idx val="1"/>
          <order val="1"/>
          <tx>
            <v>Loss</v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noFill/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B2733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B2733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'Calc'!$A$56:$A$60</f>
            </numRef>
          </cat>
          <val>
            <numRef>
              <f>'Calc'!$F$56:$F$60</f>
            </numRef>
          </val>
        </ser>
        <gapWidth val="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785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785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AF0"/>
              </a:solidFill>
              <a:prstDash val="solid"/>
            </a:ln>
          </spPr>
        </majorGridlines>
        <numFmt formatCode="$0&quot;M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785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785"/>
              </a:solidFill>
              <a:latin typeface="Arial"/>
            </a:endParaRPr>
          </a:p>
        </txPr>
        <crossAx val="10"/>
        <crosses val="max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v>Profit margin</v>
          </tx>
          <spPr>
            <a:solidFill xmlns:a="http://schemas.openxmlformats.org/drawingml/2006/main">
              <a:srgbClr val="1F3A5F"/>
            </a:solidFill>
            <a:ln xmlns:a="http://schemas.openxmlformats.org/drawingml/2006/main">
              <a:noFill/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B2733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B2733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'Calc'!$A$86:$A$89</f>
            </numRef>
          </cat>
          <val>
            <numRef>
              <f>'Calc'!$D$86:$D$89</f>
            </numRef>
          </val>
        </ser>
        <ser>
          <idx val="1"/>
          <order val="1"/>
          <tx>
            <v>Discount rate (% of gross sales)</v>
          </tx>
          <spPr>
            <a:solidFill xmlns:a="http://schemas.openxmlformats.org/drawingml/2006/main">
              <a:srgbClr val="D98E04"/>
            </a:solidFill>
            <a:ln xmlns:a="http://schemas.openxmlformats.org/drawingml/2006/main">
              <a:noFill/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1B2733"/>
                    </a:solidFill>
                    <a:latin typeface="Arial"/>
                  </a:defRPr>
                </a:pPr>
                <a:r>
                  <a:t/>
                </a:r>
                <a:endParaRPr sz="800" b="0">
                  <a:solidFill>
                    <a:srgbClr val="1B2733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'Calc'!$A$86:$A$89</f>
            </numRef>
          </cat>
          <val>
            <numRef>
              <f>'Calc'!$E$86:$E$89</f>
            </numRef>
          </val>
        </ser>
        <gapWidth val="7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785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785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AF0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B7785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6B7785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6B7785"/>
              </a:solidFill>
              <a:latin typeface="Arial"/>
            </a:defRPr>
          </a:pPr>
          <a:r>
            <a:t/>
          </a:r>
          <a:endParaRPr sz="900" b="0">
            <a:solidFill>
              <a:srgbClr val="6B7785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6408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18</row>
      <rowOff>0</rowOff>
    </from>
    <ext cx="6048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39</row>
      <rowOff>0</rowOff>
    </from>
    <ext cx="6408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39</row>
      <rowOff>0</rowOff>
    </from>
    <ext cx="6048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zas" refreshedDate="46310.07963171296" createdVersion="8" refreshedVersion="8" minRefreshableVersion="3" recordCount="695" r:id="rId1">
  <cacheSource type="worksheet">
    <worksheetSource name="Financials"/>
  </cacheSource>
  <cacheFields count="25">
    <cacheField name="Segment" uniqueList="1" numFmtId="0" sqlType="0" hierarchy="0" level="0" databaseField="1">
      <sharedItems count="5">
        <s v="Government"/>
        <s v="Midmarket"/>
        <s v="Channel Partners"/>
        <s v="Enterprise"/>
        <s v="Small Business"/>
      </sharedItems>
    </cacheField>
    <cacheField name="Country" uniqueList="1" numFmtId="0" sqlType="0" hierarchy="0" level="0" databaseField="1">
      <sharedItems count="5">
        <s v="Canada"/>
        <s v="Germany"/>
        <s v="France"/>
        <s v="Mexico"/>
        <s v="United States of America"/>
      </sharedItems>
    </cacheField>
    <cacheField name=" Product " uniqueList="1" numFmtId="0" sqlType="0" hierarchy="0" level="0" databaseField="1">
      <sharedItems count="6">
        <s v=" Carretera "/>
        <s v=" Montana "/>
        <s v=" Paseo "/>
        <s v=" Velo "/>
        <s v=" VTT "/>
        <s v=" Amarilla "/>
      </sharedItems>
    </cacheField>
    <cacheField name="Discount_Band" uniqueList="1" numFmtId="0" sqlType="0" hierarchy="0" level="0" databaseField="1">
      <sharedItems count="4">
        <s v=" None "/>
        <s v=" Low "/>
        <s v=" Medium "/>
        <s v=" High "/>
      </sharedItems>
    </cacheField>
    <cacheField name=" Units_Sold " uniqueList="1" numFmtId="0" sqlType="0" hierarchy="0" level="0" databaseField="1">
      <sharedItems count="0" containsNumber="1" containsSemiMixedTypes="0" containsString="0" minValue="200" maxValue="4492.5"/>
    </cacheField>
    <cacheField name=" Manufacturing_Price " uniqueList="1" numFmtId="44" sqlType="0" hierarchy="0" level="0" databaseField="1">
      <sharedItems count="0" containsInteger="1" containsNumber="1" containsSemiMixedTypes="0" containsString="0" minValue="3" maxValue="260"/>
    </cacheField>
    <cacheField name=" Sale_Price " uniqueList="1" numFmtId="44" sqlType="0" hierarchy="0" level="0" databaseField="1">
      <sharedItems count="0" containsInteger="1" containsNumber="1" containsSemiMixedTypes="0" containsString="0" minValue="7" maxValue="350"/>
    </cacheField>
    <cacheField name=" Gross_Sales " uniqueList="1" numFmtId="44" sqlType="0" hierarchy="0" level="0" databaseField="1">
      <sharedItems count="0" containsNumber="1" containsSemiMixedTypes="0" containsString="0" minValue="1799" maxValue="1207500"/>
    </cacheField>
    <cacheField name=" Discounts " uniqueList="1" numFmtId="0" sqlType="0" hierarchy="0" level="0" databaseField="1">
      <sharedItems count="0" containsNumber="1" containsSemiMixedTypes="0" containsString="0" minValue="0" maxValue="149677.5"/>
    </cacheField>
    <cacheField name="  Sales " uniqueList="1" numFmtId="44" sqlType="0" hierarchy="0" level="0" databaseField="1">
      <sharedItems count="0" containsNumber="1" containsSemiMixedTypes="0" containsString="0" minValue="1655.08" maxValue="1159200"/>
    </cacheField>
    <cacheField name=" COGS " uniqueList="1" numFmtId="44" sqlType="0" hierarchy="0" level="0" databaseField="1">
      <sharedItems count="0" containsNumber="1" containsSemiMixedTypes="0" containsString="0" minValue="918" maxValue="950625"/>
    </cacheField>
    <cacheField name=" Profit " uniqueList="1" numFmtId="44" sqlType="0" hierarchy="0" level="0" databaseField="1">
      <sharedItems count="0" containsNumber="1" containsSemiMixedTypes="0" containsString="0" minValue="-40617.5" maxValue="262200"/>
    </cacheField>
    <cacheField name="Date" uniqueList="1" numFmtId="14" sqlType="0" hierarchy="0" level="0" databaseField="1">
      <sharedItems count="0" containsDate="1" containsNonDate="0" containsSemiMixedTypes="0" containsString="0" minDate="2013-01-09T00:00:00" maxDate="2014-01-13T00:00:00"/>
    </cacheField>
    <cacheField name="Month_Number" uniqueList="1" numFmtId="0" sqlType="0" hierarchy="0" level="0" databaseField="1">
      <sharedItems count="0" containsInteger="1" containsNumber="1" containsSemiMixedTypes="0" containsString="0" minValue="1" maxValue="12"/>
    </cacheField>
    <cacheField name=" Month_Name " uniqueList="1" numFmtId="0" sqlType="0" hierarchy="0" level="0" databaseField="1">
      <sharedItems count="0"/>
    </cacheField>
    <cacheField name="Year" uniqueList="1" numFmtId="0" sqlType="0" hierarchy="0" level="0" databaseField="1">
      <sharedItems count="2" containsInteger="1" containsNumber="1" containsSemiMixedTypes="0" containsString="0" minValue="2013" maxValue="2014">
        <n v="2014"/>
        <n v="2013"/>
      </sharedItems>
    </cacheField>
    <cacheField name="is_fractional_units" uniqueList="1" numFmtId="0" sqlType="0" hierarchy="0" level="0" databaseField="1">
      <sharedItems count="0" containsInteger="1" containsNumber="1" containsSemiMixedTypes="0" containsString="0" minValue="0" maxValue="1"/>
    </cacheField>
    <cacheField name="Profit_Margin" uniqueList="1" numFmtId="43" sqlType="0" hierarchy="0" level="0" databaseField="1">
      <sharedItems count="0" containsNumber="1" containsSemiMixedTypes="0" containsString="0" minValue="-0.1294117647058824" maxValue="0.75"/>
    </cacheField>
    <cacheField name="Cogs_Ratio" uniqueList="1" numFmtId="10" sqlType="0" hierarchy="0" level="0" databaseField="1">
      <sharedItems count="0" containsNumber="1" containsSemiMixedTypes="0" containsString="0" minValue="0.25" maxValue="1.129411764705882"/>
    </cacheField>
    <cacheField name="Discount_Ratio" uniqueList="1" numFmtId="9" sqlType="0" hierarchy="0" level="0" databaseField="1">
      <sharedItems count="0" containsNumber="1" containsSemiMixedTypes="0" containsString="0" minValue="0" maxValue="0.1764705882352941"/>
    </cacheField>
    <cacheField name="Average_selling_Price" uniqueList="1" numFmtId="0" sqlType="0" hierarchy="0" level="0" databaseField="1">
      <sharedItems count="0" containsNumber="1" containsSemiMixedTypes="0" containsString="0" minValue="5.95" maxValue="350"/>
    </cacheField>
    <cacheField name="Unit_Profit" uniqueList="1" numFmtId="0" sqlType="0" hierarchy="0" level="0" databaseField="1">
      <sharedItems count="0" containsNumber="1" containsSemiMixedTypes="0" containsString="0" minValue="-13.75" maxValue="90"/>
    </cacheField>
    <cacheField name="Is_Loss" uniqueList="1" numFmtId="0" sqlType="0" hierarchy="0" level="0" databaseField="1">
      <sharedItems count="2" containsInteger="1" containsNumber="1" containsSemiMixedTypes="0" containsString="0" minValue="0" maxValue="1">
        <n v="0"/>
        <n v="1"/>
      </sharedItems>
    </cacheField>
    <cacheField name="Profit margin" uniqueList="1" numFmtId="0" formula="' Profit '/'  Sales '" sqlType="0" hierarchy="0" level="0" databaseField="0"/>
    <cacheField name="unit cost" uniqueList="1" numFmtId="0" formula="' COGS '/' Units_Sold '" sqlType="0" hierarchy="0" level="0" databaseField="0"/>
  </cacheFields>
</pivotCacheDefinition>
</file>

<file path=xl/pivotCache/pivotCacheRecords1.xml><?xml version="1.0" encoding="utf-8"?>
<pivotCacheRecords xmlns="http://schemas.openxmlformats.org/spreadsheetml/2006/main" count="695">
  <r>
    <x v="0"/>
    <x v="0"/>
    <x v="0"/>
    <x v="0"/>
    <n v="1618.5"/>
    <n v="3"/>
    <n v="20"/>
    <n v="32370"/>
    <n v="0"/>
    <n v="32370"/>
    <n v="16185"/>
    <n v="16185"/>
    <d v="2014-01-01T00:00:00"/>
    <n v="1"/>
    <s v=" January "/>
    <x v="0"/>
    <n v="1"/>
    <n v="0.5"/>
    <n v="0.5"/>
    <n v="0"/>
    <n v="20"/>
    <n v="10"/>
    <x v="0"/>
  </r>
  <r>
    <x v="0"/>
    <x v="1"/>
    <x v="0"/>
    <x v="0"/>
    <n v="1321"/>
    <n v="3"/>
    <n v="20"/>
    <n v="26420"/>
    <n v="0"/>
    <n v="26420"/>
    <n v="13210"/>
    <n v="13210"/>
    <d v="2014-01-01T00:00:00"/>
    <n v="1"/>
    <s v=" January "/>
    <x v="0"/>
    <n v="0"/>
    <n v="0.5"/>
    <n v="0.5"/>
    <n v="0"/>
    <n v="20"/>
    <n v="10"/>
    <x v="0"/>
  </r>
  <r>
    <x v="1"/>
    <x v="2"/>
    <x v="0"/>
    <x v="0"/>
    <n v="2178"/>
    <n v="3"/>
    <n v="15"/>
    <n v="32670"/>
    <n v="0"/>
    <n v="32670"/>
    <n v="21780"/>
    <n v="10890"/>
    <d v="2014-01-06T00:00:00"/>
    <n v="6"/>
    <s v=" June "/>
    <x v="0"/>
    <n v="0"/>
    <n v="0.3333333333333333"/>
    <n v="0.6666666666666666"/>
    <n v="0"/>
    <n v="15"/>
    <n v="5"/>
    <x v="0"/>
  </r>
  <r>
    <x v="1"/>
    <x v="1"/>
    <x v="0"/>
    <x v="0"/>
    <n v="888"/>
    <n v="3"/>
    <n v="15"/>
    <n v="13320"/>
    <n v="0"/>
    <n v="13320"/>
    <n v="8880"/>
    <n v="4440"/>
    <d v="2014-01-06T00:00:00"/>
    <n v="6"/>
    <s v=" June "/>
    <x v="0"/>
    <n v="0"/>
    <n v="0.3333333333333333"/>
    <n v="0.6666666666666666"/>
    <n v="0"/>
    <n v="15"/>
    <n v="5"/>
    <x v="0"/>
  </r>
  <r>
    <x v="1"/>
    <x v="3"/>
    <x v="0"/>
    <x v="0"/>
    <n v="2470"/>
    <n v="3"/>
    <n v="15"/>
    <n v="37050"/>
    <n v="0"/>
    <n v="37050"/>
    <n v="24700"/>
    <n v="12350"/>
    <d v="2014-01-06T00:00:00"/>
    <n v="6"/>
    <s v=" June "/>
    <x v="0"/>
    <n v="0"/>
    <n v="0.3333333333333333"/>
    <n v="0.6666666666666666"/>
    <n v="0"/>
    <n v="15"/>
    <n v="5"/>
    <x v="0"/>
  </r>
  <r>
    <x v="0"/>
    <x v="1"/>
    <x v="0"/>
    <x v="0"/>
    <n v="1513"/>
    <n v="3"/>
    <n v="350"/>
    <n v="529550"/>
    <n v="0"/>
    <n v="529550"/>
    <n v="393380"/>
    <n v="136170"/>
    <d v="2014-01-12T00:00:00"/>
    <n v="12"/>
    <s v=" December "/>
    <x v="0"/>
    <n v="0"/>
    <n v="0.2571428571428571"/>
    <n v="0.7428571428571429"/>
    <n v="0"/>
    <n v="350"/>
    <n v="90"/>
    <x v="0"/>
  </r>
  <r>
    <x v="1"/>
    <x v="1"/>
    <x v="1"/>
    <x v="0"/>
    <n v="921"/>
    <n v="5"/>
    <n v="15"/>
    <n v="13815"/>
    <n v="0"/>
    <n v="13815"/>
    <n v="9210"/>
    <n v="4605"/>
    <d v="2014-01-03T00:00:00"/>
    <n v="3"/>
    <s v=" March "/>
    <x v="0"/>
    <n v="0"/>
    <n v="0.3333333333333333"/>
    <n v="0.6666666666666666"/>
    <n v="0"/>
    <n v="15"/>
    <n v="5"/>
    <x v="0"/>
  </r>
  <r>
    <x v="2"/>
    <x v="0"/>
    <x v="1"/>
    <x v="0"/>
    <n v="2518"/>
    <n v="5"/>
    <n v="12"/>
    <n v="30216"/>
    <n v="0"/>
    <n v="30216"/>
    <n v="7554"/>
    <n v="22662"/>
    <d v="2014-01-06T00:00:00"/>
    <n v="6"/>
    <s v=" June "/>
    <x v="0"/>
    <n v="0"/>
    <n v="0.75"/>
    <n v="0.25"/>
    <n v="0"/>
    <n v="12"/>
    <n v="9"/>
    <x v="0"/>
  </r>
  <r>
    <x v="0"/>
    <x v="2"/>
    <x v="1"/>
    <x v="0"/>
    <n v="1899"/>
    <n v="5"/>
    <n v="20"/>
    <n v="37980"/>
    <n v="0"/>
    <n v="37980"/>
    <n v="18990"/>
    <n v="18990"/>
    <d v="2014-01-06T00:00:00"/>
    <n v="6"/>
    <s v=" June "/>
    <x v="0"/>
    <n v="0"/>
    <n v="0.5"/>
    <n v="0.5"/>
    <n v="0"/>
    <n v="20"/>
    <n v="10"/>
    <x v="0"/>
  </r>
  <r>
    <x v="2"/>
    <x v="1"/>
    <x v="1"/>
    <x v="0"/>
    <n v="1545"/>
    <n v="5"/>
    <n v="12"/>
    <n v="18540"/>
    <n v="0"/>
    <n v="18540"/>
    <n v="4635"/>
    <n v="13905"/>
    <d v="2014-01-06T00:00:00"/>
    <n v="6"/>
    <s v=" June "/>
    <x v="0"/>
    <n v="0"/>
    <n v="0.75"/>
    <n v="0.25"/>
    <n v="0"/>
    <n v="12"/>
    <n v="9"/>
    <x v="0"/>
  </r>
  <r>
    <x v="1"/>
    <x v="3"/>
    <x v="1"/>
    <x v="0"/>
    <n v="2470"/>
    <n v="5"/>
    <n v="15"/>
    <n v="37050"/>
    <n v="0"/>
    <n v="37050"/>
    <n v="24700"/>
    <n v="12350"/>
    <d v="2014-01-06T00:00:00"/>
    <n v="6"/>
    <s v=" June "/>
    <x v="0"/>
    <n v="0"/>
    <n v="0.3333333333333333"/>
    <n v="0.6666666666666666"/>
    <n v="0"/>
    <n v="15"/>
    <n v="5"/>
    <x v="0"/>
  </r>
  <r>
    <x v="3"/>
    <x v="0"/>
    <x v="1"/>
    <x v="0"/>
    <n v="2665.5"/>
    <n v="5"/>
    <n v="125"/>
    <n v="333187.5"/>
    <n v="0"/>
    <n v="333187.5"/>
    <n v="319860"/>
    <n v="13327.5"/>
    <d v="2014-01-07T00:00:00"/>
    <n v="7"/>
    <s v=" July "/>
    <x v="0"/>
    <n v="1"/>
    <n v="0.04"/>
    <n v="0.96"/>
    <n v="0"/>
    <n v="125"/>
    <n v="5"/>
    <x v="0"/>
  </r>
  <r>
    <x v="4"/>
    <x v="3"/>
    <x v="1"/>
    <x v="0"/>
    <n v="958"/>
    <n v="5"/>
    <n v="300"/>
    <n v="287400"/>
    <n v="0"/>
    <n v="287400"/>
    <n v="239500"/>
    <n v="47900"/>
    <d v="2014-01-08T00:00:00"/>
    <n v="8"/>
    <s v=" August "/>
    <x v="0"/>
    <n v="0"/>
    <n v="0.1666666666666667"/>
    <n v="0.8333333333333334"/>
    <n v="0"/>
    <n v="300"/>
    <n v="50"/>
    <x v="0"/>
  </r>
  <r>
    <x v="0"/>
    <x v="1"/>
    <x v="1"/>
    <x v="0"/>
    <n v="2146"/>
    <n v="5"/>
    <n v="7"/>
    <n v="15022"/>
    <n v="0"/>
    <n v="15022"/>
    <n v="10730"/>
    <n v="4292"/>
    <d v="2014-01-09T00:00:00"/>
    <n v="9"/>
    <s v=" September "/>
    <x v="0"/>
    <n v="0"/>
    <n v="0.2857142857142857"/>
    <n v="0.7142857142857143"/>
    <n v="0"/>
    <n v="7"/>
    <n v="2"/>
    <x v="0"/>
  </r>
  <r>
    <x v="3"/>
    <x v="0"/>
    <x v="1"/>
    <x v="0"/>
    <n v="345"/>
    <n v="5"/>
    <n v="125"/>
    <n v="43125"/>
    <n v="0"/>
    <n v="43125"/>
    <n v="41400"/>
    <n v="1725"/>
    <d v="2013-01-10T00:00:00"/>
    <n v="10"/>
    <s v=" October "/>
    <x v="1"/>
    <n v="0"/>
    <n v="0.04"/>
    <n v="0.96"/>
    <n v="0"/>
    <n v="125"/>
    <n v="5"/>
    <x v="0"/>
  </r>
  <r>
    <x v="1"/>
    <x v="4"/>
    <x v="1"/>
    <x v="0"/>
    <n v="615"/>
    <n v="5"/>
    <n v="15"/>
    <n v="9225"/>
    <n v="0"/>
    <n v="9225"/>
    <n v="6150"/>
    <n v="3075"/>
    <d v="2014-01-12T00:00:00"/>
    <n v="12"/>
    <s v=" December "/>
    <x v="0"/>
    <n v="0"/>
    <n v="0.3333333333333333"/>
    <n v="0.6666666666666666"/>
    <n v="0"/>
    <n v="15"/>
    <n v="5"/>
    <x v="0"/>
  </r>
  <r>
    <x v="0"/>
    <x v="0"/>
    <x v="2"/>
    <x v="0"/>
    <n v="292"/>
    <n v="10"/>
    <n v="20"/>
    <n v="5840"/>
    <n v="0"/>
    <n v="5840"/>
    <n v="2920"/>
    <n v="2920"/>
    <d v="2014-01-02T00:00:00"/>
    <n v="2"/>
    <s v=" February "/>
    <x v="0"/>
    <n v="0"/>
    <n v="0.5"/>
    <n v="0.5"/>
    <n v="0"/>
    <n v="20"/>
    <n v="10"/>
    <x v="0"/>
  </r>
  <r>
    <x v="1"/>
    <x v="3"/>
    <x v="2"/>
    <x v="0"/>
    <n v="974"/>
    <n v="10"/>
    <n v="15"/>
    <n v="14610"/>
    <n v="0"/>
    <n v="14610"/>
    <n v="9740"/>
    <n v="4870"/>
    <d v="2014-01-02T00:00:00"/>
    <n v="2"/>
    <s v=" February "/>
    <x v="0"/>
    <n v="0"/>
    <n v="0.3333333333333333"/>
    <n v="0.6666666666666666"/>
    <n v="0"/>
    <n v="15"/>
    <n v="5"/>
    <x v="0"/>
  </r>
  <r>
    <x v="2"/>
    <x v="0"/>
    <x v="2"/>
    <x v="0"/>
    <n v="2518"/>
    <n v="10"/>
    <n v="12"/>
    <n v="30216"/>
    <n v="0"/>
    <n v="30216"/>
    <n v="7554"/>
    <n v="22662"/>
    <d v="2014-01-06T00:00:00"/>
    <n v="6"/>
    <s v=" June "/>
    <x v="0"/>
    <n v="0"/>
    <n v="0.75"/>
    <n v="0.25"/>
    <n v="0"/>
    <n v="12"/>
    <n v="9"/>
    <x v="0"/>
  </r>
  <r>
    <x v="0"/>
    <x v="1"/>
    <x v="2"/>
    <x v="0"/>
    <n v="1006"/>
    <n v="10"/>
    <n v="350"/>
    <n v="352100"/>
    <n v="0"/>
    <n v="352100"/>
    <n v="261560"/>
    <n v="90540"/>
    <d v="2014-01-06T00:00:00"/>
    <n v="6"/>
    <s v=" June "/>
    <x v="0"/>
    <n v="0"/>
    <n v="0.2571428571428571"/>
    <n v="0.7428571428571429"/>
    <n v="0"/>
    <n v="350"/>
    <n v="90"/>
    <x v="0"/>
  </r>
  <r>
    <x v="2"/>
    <x v="1"/>
    <x v="2"/>
    <x v="0"/>
    <n v="367"/>
    <n v="10"/>
    <n v="12"/>
    <n v="4404"/>
    <n v="0"/>
    <n v="4404"/>
    <n v="1101"/>
    <n v="3303"/>
    <d v="2014-01-07T00:00:00"/>
    <n v="7"/>
    <s v=" July "/>
    <x v="0"/>
    <n v="0"/>
    <n v="0.75"/>
    <n v="0.25"/>
    <n v="0"/>
    <n v="12"/>
    <n v="9"/>
    <x v="0"/>
  </r>
  <r>
    <x v="0"/>
    <x v="3"/>
    <x v="2"/>
    <x v="0"/>
    <n v="883"/>
    <n v="10"/>
    <n v="7"/>
    <n v="6181"/>
    <n v="0"/>
    <n v="6181"/>
    <n v="4415"/>
    <n v="1766"/>
    <d v="2014-01-08T00:00:00"/>
    <n v="8"/>
    <s v=" August "/>
    <x v="0"/>
    <n v="0"/>
    <n v="0.2857142857142857"/>
    <n v="0.7142857142857143"/>
    <n v="0"/>
    <n v="7"/>
    <n v="2"/>
    <x v="0"/>
  </r>
  <r>
    <x v="1"/>
    <x v="2"/>
    <x v="2"/>
    <x v="0"/>
    <n v="549"/>
    <n v="10"/>
    <n v="15"/>
    <n v="8235"/>
    <n v="0"/>
    <n v="8235"/>
    <n v="5490"/>
    <n v="2745"/>
    <d v="2013-01-09T00:00:00"/>
    <n v="9"/>
    <s v=" September "/>
    <x v="1"/>
    <n v="0"/>
    <n v="0.3333333333333333"/>
    <n v="0.6666666666666666"/>
    <n v="0"/>
    <n v="15"/>
    <n v="5"/>
    <x v="0"/>
  </r>
  <r>
    <x v="4"/>
    <x v="3"/>
    <x v="2"/>
    <x v="0"/>
    <n v="788"/>
    <n v="10"/>
    <n v="300"/>
    <n v="236400"/>
    <n v="0"/>
    <n v="236400"/>
    <n v="197000"/>
    <n v="39400"/>
    <d v="2013-01-09T00:00:00"/>
    <n v="9"/>
    <s v=" September "/>
    <x v="1"/>
    <n v="0"/>
    <n v="0.1666666666666667"/>
    <n v="0.8333333333333334"/>
    <n v="0"/>
    <n v="300"/>
    <n v="50"/>
    <x v="0"/>
  </r>
  <r>
    <x v="1"/>
    <x v="3"/>
    <x v="2"/>
    <x v="0"/>
    <n v="2472"/>
    <n v="10"/>
    <n v="15"/>
    <n v="37080"/>
    <n v="0"/>
    <n v="37080"/>
    <n v="24720"/>
    <n v="12360"/>
    <d v="2014-01-09T00:00:00"/>
    <n v="9"/>
    <s v=" September "/>
    <x v="0"/>
    <n v="0"/>
    <n v="0.3333333333333333"/>
    <n v="0.6666666666666666"/>
    <n v="0"/>
    <n v="15"/>
    <n v="5"/>
    <x v="0"/>
  </r>
  <r>
    <x v="0"/>
    <x v="4"/>
    <x v="2"/>
    <x v="0"/>
    <n v="1143"/>
    <n v="10"/>
    <n v="7"/>
    <n v="8001"/>
    <n v="0"/>
    <n v="8001"/>
    <n v="5715"/>
    <n v="2286"/>
    <d v="2014-01-10T00:00:00"/>
    <n v="10"/>
    <s v=" October "/>
    <x v="0"/>
    <n v="0"/>
    <n v="0.2857142857142857"/>
    <n v="0.7142857142857143"/>
    <n v="0"/>
    <n v="7"/>
    <n v="2"/>
    <x v="0"/>
  </r>
  <r>
    <x v="0"/>
    <x v="0"/>
    <x v="2"/>
    <x v="0"/>
    <n v="1725"/>
    <n v="10"/>
    <n v="350"/>
    <n v="603750"/>
    <n v="0"/>
    <n v="603750"/>
    <n v="448500"/>
    <n v="155250"/>
    <d v="2013-01-11T00:00:00"/>
    <n v="11"/>
    <s v=" November "/>
    <x v="1"/>
    <n v="0"/>
    <n v="0.2571428571428571"/>
    <n v="0.7428571428571429"/>
    <n v="0"/>
    <n v="350"/>
    <n v="90"/>
    <x v="0"/>
  </r>
  <r>
    <x v="2"/>
    <x v="4"/>
    <x v="2"/>
    <x v="0"/>
    <n v="912"/>
    <n v="10"/>
    <n v="12"/>
    <n v="10944"/>
    <n v="0"/>
    <n v="10944"/>
    <n v="2736"/>
    <n v="8208"/>
    <d v="2013-01-11T00:00:00"/>
    <n v="11"/>
    <s v=" November "/>
    <x v="1"/>
    <n v="0"/>
    <n v="0.75"/>
    <n v="0.25"/>
    <n v="0"/>
    <n v="12"/>
    <n v="9"/>
    <x v="0"/>
  </r>
  <r>
    <x v="1"/>
    <x v="0"/>
    <x v="2"/>
    <x v="0"/>
    <n v="2152"/>
    <n v="10"/>
    <n v="15"/>
    <n v="32280"/>
    <n v="0"/>
    <n v="32280"/>
    <n v="21520"/>
    <n v="10760"/>
    <d v="2013-01-12T00:00:00"/>
    <n v="12"/>
    <s v=" December "/>
    <x v="1"/>
    <n v="0"/>
    <n v="0.3333333333333333"/>
    <n v="0.6666666666666666"/>
    <n v="0"/>
    <n v="15"/>
    <n v="5"/>
    <x v="0"/>
  </r>
  <r>
    <x v="0"/>
    <x v="0"/>
    <x v="2"/>
    <x v="0"/>
    <n v="1817"/>
    <n v="10"/>
    <n v="20"/>
    <n v="36340"/>
    <n v="0"/>
    <n v="36340"/>
    <n v="18170"/>
    <n v="18170"/>
    <d v="2014-01-12T00:00:00"/>
    <n v="12"/>
    <s v=" December "/>
    <x v="0"/>
    <n v="0"/>
    <n v="0.5"/>
    <n v="0.5"/>
    <n v="0"/>
    <n v="20"/>
    <n v="10"/>
    <x v="0"/>
  </r>
  <r>
    <x v="0"/>
    <x v="1"/>
    <x v="2"/>
    <x v="0"/>
    <n v="1513"/>
    <n v="10"/>
    <n v="350"/>
    <n v="529550"/>
    <n v="0"/>
    <n v="529550"/>
    <n v="393380"/>
    <n v="136170"/>
    <d v="2014-01-12T00:00:00"/>
    <n v="12"/>
    <s v=" December "/>
    <x v="0"/>
    <n v="0"/>
    <n v="0.2571428571428571"/>
    <n v="0.7428571428571429"/>
    <n v="0"/>
    <n v="350"/>
    <n v="90"/>
    <x v="0"/>
  </r>
  <r>
    <x v="0"/>
    <x v="3"/>
    <x v="3"/>
    <x v="0"/>
    <n v="1493"/>
    <n v="120"/>
    <n v="7"/>
    <n v="10451"/>
    <n v="0"/>
    <n v="10451"/>
    <n v="7465"/>
    <n v="2986"/>
    <d v="2014-01-01T00:00:00"/>
    <n v="1"/>
    <s v=" January "/>
    <x v="0"/>
    <n v="0"/>
    <n v="0.2857142857142857"/>
    <n v="0.7142857142857143"/>
    <n v="0"/>
    <n v="7"/>
    <n v="2"/>
    <x v="0"/>
  </r>
  <r>
    <x v="3"/>
    <x v="2"/>
    <x v="3"/>
    <x v="0"/>
    <n v="1804"/>
    <n v="120"/>
    <n v="125"/>
    <n v="225500"/>
    <n v="0"/>
    <n v="225500"/>
    <n v="216480"/>
    <n v="9020"/>
    <d v="2014-01-02T00:00:00"/>
    <n v="2"/>
    <s v=" February "/>
    <x v="0"/>
    <n v="0"/>
    <n v="0.04"/>
    <n v="0.96"/>
    <n v="0"/>
    <n v="125"/>
    <n v="5"/>
    <x v="0"/>
  </r>
  <r>
    <x v="2"/>
    <x v="1"/>
    <x v="3"/>
    <x v="0"/>
    <n v="2161"/>
    <n v="120"/>
    <n v="12"/>
    <n v="25932"/>
    <n v="0"/>
    <n v="25932"/>
    <n v="6483"/>
    <n v="19449"/>
    <d v="2014-01-03T00:00:00"/>
    <n v="3"/>
    <s v=" March "/>
    <x v="0"/>
    <n v="0"/>
    <n v="0.75"/>
    <n v="0.25"/>
    <n v="0"/>
    <n v="12"/>
    <n v="9"/>
    <x v="0"/>
  </r>
  <r>
    <x v="0"/>
    <x v="1"/>
    <x v="3"/>
    <x v="0"/>
    <n v="1006"/>
    <n v="120"/>
    <n v="350"/>
    <n v="352100"/>
    <n v="0"/>
    <n v="352100"/>
    <n v="261560"/>
    <n v="90540"/>
    <d v="2014-01-06T00:00:00"/>
    <n v="6"/>
    <s v=" June "/>
    <x v="0"/>
    <n v="0"/>
    <n v="0.2571428571428571"/>
    <n v="0.7428571428571429"/>
    <n v="0"/>
    <n v="350"/>
    <n v="90"/>
    <x v="0"/>
  </r>
  <r>
    <x v="2"/>
    <x v="1"/>
    <x v="3"/>
    <x v="0"/>
    <n v="1545"/>
    <n v="120"/>
    <n v="12"/>
    <n v="18540"/>
    <n v="0"/>
    <n v="18540"/>
    <n v="4635"/>
    <n v="13905"/>
    <d v="2014-01-06T00:00:00"/>
    <n v="6"/>
    <s v=" June "/>
    <x v="0"/>
    <n v="0"/>
    <n v="0.75"/>
    <n v="0.25"/>
    <n v="0"/>
    <n v="12"/>
    <n v="9"/>
    <x v="0"/>
  </r>
  <r>
    <x v="3"/>
    <x v="4"/>
    <x v="3"/>
    <x v="0"/>
    <n v="2821"/>
    <n v="120"/>
    <n v="125"/>
    <n v="352625"/>
    <n v="0"/>
    <n v="352625"/>
    <n v="338520"/>
    <n v="14105"/>
    <d v="2014-01-08T00:00:00"/>
    <n v="8"/>
    <s v=" August "/>
    <x v="0"/>
    <n v="0"/>
    <n v="0.04"/>
    <n v="0.96"/>
    <n v="0"/>
    <n v="125"/>
    <n v="5"/>
    <x v="0"/>
  </r>
  <r>
    <x v="3"/>
    <x v="0"/>
    <x v="3"/>
    <x v="0"/>
    <n v="345"/>
    <n v="120"/>
    <n v="125"/>
    <n v="43125"/>
    <n v="0"/>
    <n v="43125"/>
    <n v="41400"/>
    <n v="1725"/>
    <d v="2013-01-10T00:00:00"/>
    <n v="10"/>
    <s v=" October "/>
    <x v="1"/>
    <n v="0"/>
    <n v="0.04"/>
    <n v="0.96"/>
    <n v="0"/>
    <n v="125"/>
    <n v="5"/>
    <x v="0"/>
  </r>
  <r>
    <x v="4"/>
    <x v="0"/>
    <x v="4"/>
    <x v="0"/>
    <n v="2001"/>
    <n v="250"/>
    <n v="300"/>
    <n v="600300"/>
    <n v="0"/>
    <n v="600300"/>
    <n v="500250"/>
    <n v="100050"/>
    <d v="2014-01-02T00:00:00"/>
    <n v="2"/>
    <s v=" February "/>
    <x v="0"/>
    <n v="0"/>
    <n v="0.1666666666666667"/>
    <n v="0.8333333333333334"/>
    <n v="0"/>
    <n v="300"/>
    <n v="50"/>
    <x v="0"/>
  </r>
  <r>
    <x v="2"/>
    <x v="1"/>
    <x v="4"/>
    <x v="0"/>
    <n v="2838"/>
    <n v="250"/>
    <n v="12"/>
    <n v="34056"/>
    <n v="0"/>
    <n v="34056"/>
    <n v="8514"/>
    <n v="25542"/>
    <d v="2014-01-04T00:00:00"/>
    <n v="4"/>
    <s v=" April "/>
    <x v="0"/>
    <n v="0"/>
    <n v="0.75"/>
    <n v="0.25"/>
    <n v="0"/>
    <n v="12"/>
    <n v="9"/>
    <x v="0"/>
  </r>
  <r>
    <x v="1"/>
    <x v="2"/>
    <x v="4"/>
    <x v="0"/>
    <n v="2178"/>
    <n v="250"/>
    <n v="15"/>
    <n v="32670"/>
    <n v="0"/>
    <n v="32670"/>
    <n v="21780"/>
    <n v="10890"/>
    <d v="2014-01-06T00:00:00"/>
    <n v="6"/>
    <s v=" June "/>
    <x v="0"/>
    <n v="0"/>
    <n v="0.3333333333333333"/>
    <n v="0.6666666666666666"/>
    <n v="0"/>
    <n v="15"/>
    <n v="5"/>
    <x v="0"/>
  </r>
  <r>
    <x v="1"/>
    <x v="1"/>
    <x v="4"/>
    <x v="0"/>
    <n v="888"/>
    <n v="250"/>
    <n v="15"/>
    <n v="13320"/>
    <n v="0"/>
    <n v="13320"/>
    <n v="8880"/>
    <n v="4440"/>
    <d v="2014-01-06T00:00:00"/>
    <n v="6"/>
    <s v=" June "/>
    <x v="0"/>
    <n v="0"/>
    <n v="0.3333333333333333"/>
    <n v="0.6666666666666666"/>
    <n v="0"/>
    <n v="15"/>
    <n v="5"/>
    <x v="0"/>
  </r>
  <r>
    <x v="0"/>
    <x v="2"/>
    <x v="4"/>
    <x v="0"/>
    <n v="1527"/>
    <n v="250"/>
    <n v="350"/>
    <n v="534450"/>
    <n v="0"/>
    <n v="534450"/>
    <n v="397020"/>
    <n v="137430"/>
    <d v="2013-01-09T00:00:00"/>
    <n v="9"/>
    <s v=" September "/>
    <x v="1"/>
    <n v="0"/>
    <n v="0.2571428571428571"/>
    <n v="0.7428571428571429"/>
    <n v="0"/>
    <n v="350"/>
    <n v="90"/>
    <x v="0"/>
  </r>
  <r>
    <x v="4"/>
    <x v="2"/>
    <x v="4"/>
    <x v="0"/>
    <n v="2151"/>
    <n v="250"/>
    <n v="300"/>
    <n v="645300"/>
    <n v="0"/>
    <n v="645300"/>
    <n v="537750"/>
    <n v="107550"/>
    <d v="2014-01-09T00:00:00"/>
    <n v="9"/>
    <s v=" September "/>
    <x v="0"/>
    <n v="0"/>
    <n v="0.1666666666666667"/>
    <n v="0.8333333333333334"/>
    <n v="0"/>
    <n v="300"/>
    <n v="50"/>
    <x v="0"/>
  </r>
  <r>
    <x v="0"/>
    <x v="0"/>
    <x v="4"/>
    <x v="0"/>
    <n v="1817"/>
    <n v="250"/>
    <n v="20"/>
    <n v="36340"/>
    <n v="0"/>
    <n v="36340"/>
    <n v="18170"/>
    <n v="18170"/>
    <d v="2014-01-12T00:00:00"/>
    <n v="12"/>
    <s v=" December "/>
    <x v="0"/>
    <n v="0"/>
    <n v="0.5"/>
    <n v="0.5"/>
    <n v="0"/>
    <n v="20"/>
    <n v="10"/>
    <x v="0"/>
  </r>
  <r>
    <x v="0"/>
    <x v="2"/>
    <x v="5"/>
    <x v="0"/>
    <n v="2750"/>
    <n v="260"/>
    <n v="350"/>
    <n v="962500"/>
    <n v="0"/>
    <n v="962500"/>
    <n v="715000"/>
    <n v="247500"/>
    <d v="2014-01-02T00:00:00"/>
    <n v="2"/>
    <s v=" February "/>
    <x v="0"/>
    <n v="0"/>
    <n v="0.2571428571428571"/>
    <n v="0.7428571428571429"/>
    <n v="0"/>
    <n v="350"/>
    <n v="90"/>
    <x v="0"/>
  </r>
  <r>
    <x v="2"/>
    <x v="4"/>
    <x v="5"/>
    <x v="0"/>
    <n v="1953"/>
    <n v="260"/>
    <n v="12"/>
    <n v="23436"/>
    <n v="0"/>
    <n v="23436"/>
    <n v="5859"/>
    <n v="17577"/>
    <d v="2014-01-04T00:00:00"/>
    <n v="4"/>
    <s v=" April "/>
    <x v="0"/>
    <n v="0"/>
    <n v="0.75"/>
    <n v="0.25"/>
    <n v="0"/>
    <n v="12"/>
    <n v="9"/>
    <x v="0"/>
  </r>
  <r>
    <x v="3"/>
    <x v="1"/>
    <x v="5"/>
    <x v="0"/>
    <n v="4219.5"/>
    <n v="260"/>
    <n v="125"/>
    <n v="527437.5"/>
    <n v="0"/>
    <n v="527437.5"/>
    <n v="506340"/>
    <n v="21097.5"/>
    <d v="2014-01-04T00:00:00"/>
    <n v="4"/>
    <s v=" April "/>
    <x v="0"/>
    <n v="1"/>
    <n v="0.04"/>
    <n v="0.96"/>
    <n v="0"/>
    <n v="125"/>
    <n v="5"/>
    <x v="0"/>
  </r>
  <r>
    <x v="0"/>
    <x v="2"/>
    <x v="5"/>
    <x v="0"/>
    <n v="1899"/>
    <n v="260"/>
    <n v="20"/>
    <n v="37980"/>
    <n v="0"/>
    <n v="37980"/>
    <n v="18990"/>
    <n v="18990"/>
    <d v="2014-01-06T00:00:00"/>
    <n v="6"/>
    <s v=" June "/>
    <x v="0"/>
    <n v="0"/>
    <n v="0.5"/>
    <n v="0.5"/>
    <n v="0"/>
    <n v="20"/>
    <n v="10"/>
    <x v="0"/>
  </r>
  <r>
    <x v="0"/>
    <x v="1"/>
    <x v="5"/>
    <x v="0"/>
    <n v="1686"/>
    <n v="260"/>
    <n v="7"/>
    <n v="11802"/>
    <n v="0"/>
    <n v="11802"/>
    <n v="8430"/>
    <n v="3372"/>
    <d v="2014-01-07T00:00:00"/>
    <n v="7"/>
    <s v=" July "/>
    <x v="0"/>
    <n v="0"/>
    <n v="0.2857142857142857"/>
    <n v="0.7142857142857143"/>
    <n v="0"/>
    <n v="7"/>
    <n v="2"/>
    <x v="0"/>
  </r>
  <r>
    <x v="2"/>
    <x v="4"/>
    <x v="5"/>
    <x v="0"/>
    <n v="2141"/>
    <n v="260"/>
    <n v="12"/>
    <n v="25692"/>
    <n v="0"/>
    <n v="25692"/>
    <n v="6423"/>
    <n v="19269"/>
    <d v="2014-01-08T00:00:00"/>
    <n v="8"/>
    <s v=" August "/>
    <x v="0"/>
    <n v="0"/>
    <n v="0.75"/>
    <n v="0.25"/>
    <n v="0"/>
    <n v="12"/>
    <n v="9"/>
    <x v="0"/>
  </r>
  <r>
    <x v="0"/>
    <x v="4"/>
    <x v="5"/>
    <x v="0"/>
    <n v="1143"/>
    <n v="260"/>
    <n v="7"/>
    <n v="8001"/>
    <n v="0"/>
    <n v="8001"/>
    <n v="5715"/>
    <n v="2286"/>
    <d v="2014-01-10T00:00:00"/>
    <n v="10"/>
    <s v=" October "/>
    <x v="0"/>
    <n v="0"/>
    <n v="0.2857142857142857"/>
    <n v="0.7142857142857143"/>
    <n v="0"/>
    <n v="7"/>
    <n v="2"/>
    <x v="0"/>
  </r>
  <r>
    <x v="1"/>
    <x v="4"/>
    <x v="5"/>
    <x v="0"/>
    <n v="615"/>
    <n v="260"/>
    <n v="15"/>
    <n v="9225"/>
    <n v="0"/>
    <n v="9225"/>
    <n v="6150"/>
    <n v="3075"/>
    <d v="2014-01-12T00:00:00"/>
    <n v="12"/>
    <s v=" December "/>
    <x v="0"/>
    <n v="0"/>
    <n v="0.3333333333333333"/>
    <n v="0.6666666666666666"/>
    <n v="0"/>
    <n v="15"/>
    <n v="5"/>
    <x v="0"/>
  </r>
  <r>
    <x v="0"/>
    <x v="2"/>
    <x v="2"/>
    <x v="1"/>
    <n v="3945"/>
    <n v="10"/>
    <n v="7"/>
    <n v="27615"/>
    <n v="276.15"/>
    <n v="27338.85"/>
    <n v="19725"/>
    <n v="7613.85"/>
    <d v="2014-01-01T00:00:00"/>
    <n v="1"/>
    <s v=" January "/>
    <x v="0"/>
    <n v="0"/>
    <n v="0.2784992784992785"/>
    <n v="0.7215007215007215"/>
    <n v="0.0101010101010101"/>
    <n v="6.93"/>
    <n v="1.93"/>
    <x v="0"/>
  </r>
  <r>
    <x v="1"/>
    <x v="2"/>
    <x v="2"/>
    <x v="1"/>
    <n v="2296"/>
    <n v="10"/>
    <n v="15"/>
    <n v="34440"/>
    <n v="344.4"/>
    <n v="34095.6"/>
    <n v="22960"/>
    <n v="11135.6"/>
    <d v="2014-01-02T00:00:00"/>
    <n v="2"/>
    <s v=" February "/>
    <x v="0"/>
    <n v="0"/>
    <n v="0.3265993265993266"/>
    <n v="0.6734006734006734"/>
    <n v="0.0101010101010101"/>
    <n v="14.85"/>
    <n v="4.850000000000001"/>
    <x v="0"/>
  </r>
  <r>
    <x v="0"/>
    <x v="2"/>
    <x v="2"/>
    <x v="1"/>
    <n v="1030"/>
    <n v="10"/>
    <n v="7"/>
    <n v="7210"/>
    <n v="72.09999999999999"/>
    <n v="7137.9"/>
    <n v="5150"/>
    <n v="1987.9"/>
    <d v="2014-01-05T00:00:00"/>
    <n v="5"/>
    <s v=" May "/>
    <x v="0"/>
    <n v="0"/>
    <n v="0.2784992784992785"/>
    <n v="0.7215007215007215"/>
    <n v="0.0101010101010101"/>
    <n v="6.93"/>
    <n v="1.93"/>
    <x v="0"/>
  </r>
  <r>
    <x v="0"/>
    <x v="2"/>
    <x v="3"/>
    <x v="1"/>
    <n v="639"/>
    <n v="120"/>
    <n v="7"/>
    <n v="4473"/>
    <n v="44.73"/>
    <n v="4428.27"/>
    <n v="3195"/>
    <n v="1233.27"/>
    <d v="2014-01-11T00:00:00"/>
    <n v="11"/>
    <s v=" November "/>
    <x v="0"/>
    <n v="0"/>
    <n v="0.2784992784992785"/>
    <n v="0.7215007215007214"/>
    <n v="0.0101010101010101"/>
    <n v="6.930000000000001"/>
    <n v="1.93"/>
    <x v="0"/>
  </r>
  <r>
    <x v="0"/>
    <x v="0"/>
    <x v="4"/>
    <x v="1"/>
    <n v="1326"/>
    <n v="250"/>
    <n v="7"/>
    <n v="9282"/>
    <n v="92.81999999999999"/>
    <n v="9189.18"/>
    <n v="6630"/>
    <n v="2559.18"/>
    <d v="2014-01-03T00:00:00"/>
    <n v="3"/>
    <s v=" March "/>
    <x v="0"/>
    <n v="0"/>
    <n v="0.2784992784992785"/>
    <n v="0.7215007215007215"/>
    <n v="0.0101010101010101"/>
    <n v="6.930000000000001"/>
    <n v="1.93"/>
    <x v="0"/>
  </r>
  <r>
    <x v="2"/>
    <x v="4"/>
    <x v="0"/>
    <x v="1"/>
    <n v="1858"/>
    <n v="3"/>
    <n v="12"/>
    <n v="22296"/>
    <n v="222.96"/>
    <n v="22073.04"/>
    <n v="5574"/>
    <n v="16499.04"/>
    <d v="2014-01-02T00:00:00"/>
    <n v="2"/>
    <s v=" February "/>
    <x v="0"/>
    <n v="0"/>
    <n v="0.7474747474747475"/>
    <n v="0.2525252525252525"/>
    <n v="0.0101010101010101"/>
    <n v="11.88"/>
    <n v="8.880000000000001"/>
    <x v="0"/>
  </r>
  <r>
    <x v="0"/>
    <x v="3"/>
    <x v="0"/>
    <x v="1"/>
    <n v="1210"/>
    <n v="3"/>
    <n v="350"/>
    <n v="423500"/>
    <n v="4235"/>
    <n v="419265"/>
    <n v="314600"/>
    <n v="104665"/>
    <d v="2014-01-03T00:00:00"/>
    <n v="3"/>
    <s v=" March "/>
    <x v="0"/>
    <n v="0"/>
    <n v="0.2496392496392496"/>
    <n v="0.7503607503607503"/>
    <n v="0.0101010101010101"/>
    <n v="346.5"/>
    <n v="86.5"/>
    <x v="0"/>
  </r>
  <r>
    <x v="0"/>
    <x v="4"/>
    <x v="0"/>
    <x v="1"/>
    <n v="2529"/>
    <n v="3"/>
    <n v="7"/>
    <n v="17703"/>
    <n v="177.03"/>
    <n v="17525.97"/>
    <n v="12645"/>
    <n v="4880.97"/>
    <d v="2014-01-07T00:00:00"/>
    <n v="7"/>
    <s v=" July "/>
    <x v="0"/>
    <n v="0"/>
    <n v="0.2784992784992785"/>
    <n v="0.7215007215007214"/>
    <n v="0.0101010101010101"/>
    <n v="6.930000000000001"/>
    <n v="1.93"/>
    <x v="0"/>
  </r>
  <r>
    <x v="2"/>
    <x v="0"/>
    <x v="0"/>
    <x v="1"/>
    <n v="1445"/>
    <n v="3"/>
    <n v="12"/>
    <n v="17340"/>
    <n v="173.4"/>
    <n v="17166.6"/>
    <n v="4335"/>
    <n v="12831.6"/>
    <d v="2014-01-09T00:00:00"/>
    <n v="9"/>
    <s v=" September "/>
    <x v="0"/>
    <n v="0"/>
    <n v="0.7474747474747475"/>
    <n v="0.2525252525252525"/>
    <n v="0.0101010101010101"/>
    <n v="11.88"/>
    <n v="8.880000000000001"/>
    <x v="0"/>
  </r>
  <r>
    <x v="3"/>
    <x v="4"/>
    <x v="0"/>
    <x v="1"/>
    <n v="330"/>
    <n v="3"/>
    <n v="125"/>
    <n v="41250"/>
    <n v="412.5"/>
    <n v="40837.5"/>
    <n v="39600"/>
    <n v="1237.5"/>
    <d v="2013-01-09T00:00:00"/>
    <n v="9"/>
    <s v=" September "/>
    <x v="1"/>
    <n v="0"/>
    <n v="0.0303030303030303"/>
    <n v="0.9696969696969697"/>
    <n v="0.0101010101010101"/>
    <n v="123.75"/>
    <n v="3.75"/>
    <x v="0"/>
  </r>
  <r>
    <x v="2"/>
    <x v="2"/>
    <x v="0"/>
    <x v="1"/>
    <n v="2671"/>
    <n v="3"/>
    <n v="12"/>
    <n v="32052"/>
    <n v="320.52"/>
    <n v="31731.48"/>
    <n v="8013"/>
    <n v="23718.48"/>
    <d v="2014-01-09T00:00:00"/>
    <n v="9"/>
    <s v=" September "/>
    <x v="0"/>
    <n v="0"/>
    <n v="0.7474747474747475"/>
    <n v="0.2525252525252525"/>
    <n v="0.0101010101010101"/>
    <n v="11.88"/>
    <n v="8.879999999999999"/>
    <x v="0"/>
  </r>
  <r>
    <x v="2"/>
    <x v="1"/>
    <x v="0"/>
    <x v="1"/>
    <n v="766"/>
    <n v="3"/>
    <n v="12"/>
    <n v="9192"/>
    <n v="91.92"/>
    <n v="9100.08"/>
    <n v="2298"/>
    <n v="6802.08"/>
    <d v="2013-01-10T00:00:00"/>
    <n v="10"/>
    <s v=" October "/>
    <x v="1"/>
    <n v="0"/>
    <n v="0.7474747474747475"/>
    <n v="0.2525252525252525"/>
    <n v="0.0101010101010101"/>
    <n v="11.88"/>
    <n v="8.880000000000001"/>
    <x v="0"/>
  </r>
  <r>
    <x v="4"/>
    <x v="3"/>
    <x v="0"/>
    <x v="1"/>
    <n v="494"/>
    <n v="3"/>
    <n v="300"/>
    <n v="148200"/>
    <n v="1482"/>
    <n v="146718"/>
    <n v="123500"/>
    <n v="23218"/>
    <d v="2013-01-10T00:00:00"/>
    <n v="10"/>
    <s v=" October "/>
    <x v="1"/>
    <n v="0"/>
    <n v="0.1582491582491583"/>
    <n v="0.8417508417508418"/>
    <n v="0.0101010101010101"/>
    <n v="297"/>
    <n v="47"/>
    <x v="0"/>
  </r>
  <r>
    <x v="0"/>
    <x v="3"/>
    <x v="0"/>
    <x v="1"/>
    <n v="1397"/>
    <n v="3"/>
    <n v="350"/>
    <n v="488950"/>
    <n v="4889.5"/>
    <n v="484060.5"/>
    <n v="363220"/>
    <n v="120840.5"/>
    <d v="2014-01-10T00:00:00"/>
    <n v="10"/>
    <s v=" October "/>
    <x v="0"/>
    <n v="0"/>
    <n v="0.2496392496392496"/>
    <n v="0.7503607503607503"/>
    <n v="0.0101010101010101"/>
    <n v="346.5"/>
    <n v="86.5"/>
    <x v="0"/>
  </r>
  <r>
    <x v="0"/>
    <x v="2"/>
    <x v="0"/>
    <x v="1"/>
    <n v="2155"/>
    <n v="3"/>
    <n v="350"/>
    <n v="754250"/>
    <n v="7542.5"/>
    <n v="746707.5"/>
    <n v="560300"/>
    <n v="186407.5"/>
    <d v="2014-01-12T00:00:00"/>
    <n v="12"/>
    <s v=" December "/>
    <x v="0"/>
    <n v="0"/>
    <n v="0.2496392496392496"/>
    <n v="0.7503607503607503"/>
    <n v="0.0101010101010101"/>
    <n v="346.5"/>
    <n v="86.5"/>
    <x v="0"/>
  </r>
  <r>
    <x v="1"/>
    <x v="3"/>
    <x v="1"/>
    <x v="1"/>
    <n v="2214"/>
    <n v="5"/>
    <n v="15"/>
    <n v="33210"/>
    <n v="332.1"/>
    <n v="32877.9"/>
    <n v="22140"/>
    <n v="10737.9"/>
    <d v="2014-01-03T00:00:00"/>
    <n v="3"/>
    <s v=" March "/>
    <x v="0"/>
    <n v="0"/>
    <n v="0.3265993265993266"/>
    <n v="0.6734006734006733"/>
    <n v="0.0101010101010101"/>
    <n v="14.85"/>
    <n v="4.85"/>
    <x v="0"/>
  </r>
  <r>
    <x v="4"/>
    <x v="4"/>
    <x v="1"/>
    <x v="1"/>
    <n v="2301"/>
    <n v="5"/>
    <n v="300"/>
    <n v="690300"/>
    <n v="6903"/>
    <n v="683397"/>
    <n v="575250"/>
    <n v="108147"/>
    <d v="2014-01-04T00:00:00"/>
    <n v="4"/>
    <s v=" April "/>
    <x v="0"/>
    <n v="0"/>
    <n v="0.1582491582491583"/>
    <n v="0.8417508417508418"/>
    <n v="0.0101010101010101"/>
    <n v="297"/>
    <n v="47"/>
    <x v="0"/>
  </r>
  <r>
    <x v="0"/>
    <x v="2"/>
    <x v="1"/>
    <x v="1"/>
    <n v="1375.5"/>
    <n v="5"/>
    <n v="20"/>
    <n v="27510"/>
    <n v="275.1"/>
    <n v="27234.9"/>
    <n v="13755"/>
    <n v="13479.9"/>
    <d v="2014-01-07T00:00:00"/>
    <n v="7"/>
    <s v=" July "/>
    <x v="0"/>
    <n v="1"/>
    <n v="0.4949494949494949"/>
    <n v="0.505050505050505"/>
    <n v="0.0101010101010101"/>
    <n v="19.8"/>
    <n v="9.799999999999999"/>
    <x v="0"/>
  </r>
  <r>
    <x v="0"/>
    <x v="0"/>
    <x v="1"/>
    <x v="1"/>
    <n v="1830"/>
    <n v="5"/>
    <n v="7"/>
    <n v="12810"/>
    <n v="128.1"/>
    <n v="12681.9"/>
    <n v="9150"/>
    <n v="3531.9"/>
    <d v="2014-01-08T00:00:00"/>
    <n v="8"/>
    <s v=" August "/>
    <x v="0"/>
    <n v="0"/>
    <n v="0.2784992784992785"/>
    <n v="0.7215007215007215"/>
    <n v="0.0101010101010101"/>
    <n v="6.93"/>
    <n v="1.93"/>
    <x v="0"/>
  </r>
  <r>
    <x v="4"/>
    <x v="4"/>
    <x v="1"/>
    <x v="1"/>
    <n v="2498"/>
    <n v="5"/>
    <n v="300"/>
    <n v="749400"/>
    <n v="7494"/>
    <n v="741906"/>
    <n v="624500"/>
    <n v="117406"/>
    <d v="2013-01-09T00:00:00"/>
    <n v="9"/>
    <s v=" September "/>
    <x v="1"/>
    <n v="0"/>
    <n v="0.1582491582491583"/>
    <n v="0.8417508417508418"/>
    <n v="0.0101010101010101"/>
    <n v="297"/>
    <n v="47"/>
    <x v="0"/>
  </r>
  <r>
    <x v="3"/>
    <x v="4"/>
    <x v="1"/>
    <x v="1"/>
    <n v="663"/>
    <n v="5"/>
    <n v="125"/>
    <n v="82875"/>
    <n v="828.75"/>
    <n v="82046.25"/>
    <n v="79560"/>
    <n v="2486.25"/>
    <d v="2013-01-10T00:00:00"/>
    <n v="10"/>
    <s v=" October "/>
    <x v="1"/>
    <n v="0"/>
    <n v="0.0303030303030303"/>
    <n v="0.9696969696969697"/>
    <n v="0.0101010101010101"/>
    <n v="123.75"/>
    <n v="3.75"/>
    <x v="0"/>
  </r>
  <r>
    <x v="1"/>
    <x v="4"/>
    <x v="2"/>
    <x v="1"/>
    <n v="1514"/>
    <n v="10"/>
    <n v="15"/>
    <n v="22710"/>
    <n v="227.1"/>
    <n v="22482.9"/>
    <n v="15140"/>
    <n v="7342.9"/>
    <d v="2014-01-02T00:00:00"/>
    <n v="2"/>
    <s v=" February "/>
    <x v="0"/>
    <n v="0"/>
    <n v="0.3265993265993266"/>
    <n v="0.6734006734006733"/>
    <n v="0.0101010101010101"/>
    <n v="14.85"/>
    <n v="4.85"/>
    <x v="0"/>
  </r>
  <r>
    <x v="0"/>
    <x v="4"/>
    <x v="2"/>
    <x v="1"/>
    <n v="4492.5"/>
    <n v="10"/>
    <n v="7"/>
    <n v="31447.5"/>
    <n v="314.48"/>
    <n v="31133.03"/>
    <n v="22462.5"/>
    <n v="8670.530000000001"/>
    <d v="2014-01-04T00:00:00"/>
    <n v="4"/>
    <s v=" April "/>
    <x v="0"/>
    <n v="1"/>
    <n v="0.2784993943731144"/>
    <n v="0.7215006056268857"/>
    <n v="0.01010116907991288"/>
    <n v="6.930001112966054"/>
    <n v="1.930001112966055"/>
    <x v="0"/>
  </r>
  <r>
    <x v="3"/>
    <x v="4"/>
    <x v="2"/>
    <x v="1"/>
    <n v="727"/>
    <n v="10"/>
    <n v="125"/>
    <n v="90875"/>
    <n v="908.75"/>
    <n v="89966.25"/>
    <n v="87240"/>
    <n v="2726.25"/>
    <d v="2014-01-06T00:00:00"/>
    <n v="6"/>
    <s v=" June "/>
    <x v="0"/>
    <n v="0"/>
    <n v="0.0303030303030303"/>
    <n v="0.9696969696969697"/>
    <n v="0.0101010101010101"/>
    <n v="123.75"/>
    <n v="3.75"/>
    <x v="0"/>
  </r>
  <r>
    <x v="3"/>
    <x v="2"/>
    <x v="2"/>
    <x v="1"/>
    <n v="787"/>
    <n v="10"/>
    <n v="125"/>
    <n v="98375"/>
    <n v="983.75"/>
    <n v="97391.25"/>
    <n v="94440"/>
    <n v="2951.25"/>
    <d v="2014-01-06T00:00:00"/>
    <n v="6"/>
    <s v=" June "/>
    <x v="0"/>
    <n v="0"/>
    <n v="0.0303030303030303"/>
    <n v="0.9696969696969697"/>
    <n v="0.0101010101010101"/>
    <n v="123.75"/>
    <n v="3.75"/>
    <x v="0"/>
  </r>
  <r>
    <x v="3"/>
    <x v="3"/>
    <x v="2"/>
    <x v="1"/>
    <n v="1823"/>
    <n v="10"/>
    <n v="125"/>
    <n v="227875"/>
    <n v="2278.75"/>
    <n v="225596.25"/>
    <n v="218760"/>
    <n v="6836.25"/>
    <d v="2014-01-07T00:00:00"/>
    <n v="7"/>
    <s v=" July "/>
    <x v="0"/>
    <n v="0"/>
    <n v="0.0303030303030303"/>
    <n v="0.9696969696969697"/>
    <n v="0.0101010101010101"/>
    <n v="123.75"/>
    <n v="3.75"/>
    <x v="0"/>
  </r>
  <r>
    <x v="1"/>
    <x v="1"/>
    <x v="2"/>
    <x v="1"/>
    <n v="747"/>
    <n v="10"/>
    <n v="15"/>
    <n v="11205"/>
    <n v="112.05"/>
    <n v="11092.95"/>
    <n v="7470"/>
    <n v="3622.95"/>
    <d v="2014-01-09T00:00:00"/>
    <n v="9"/>
    <s v=" September "/>
    <x v="0"/>
    <n v="0"/>
    <n v="0.3265993265993266"/>
    <n v="0.6734006734006733"/>
    <n v="0.0101010101010101"/>
    <n v="14.85"/>
    <n v="4.85"/>
    <x v="0"/>
  </r>
  <r>
    <x v="2"/>
    <x v="1"/>
    <x v="2"/>
    <x v="1"/>
    <n v="766"/>
    <n v="10"/>
    <n v="12"/>
    <n v="9192"/>
    <n v="91.92"/>
    <n v="9100.08"/>
    <n v="2298"/>
    <n v="6802.08"/>
    <d v="2013-01-10T00:00:00"/>
    <n v="10"/>
    <s v=" October "/>
    <x v="1"/>
    <n v="0"/>
    <n v="0.7474747474747475"/>
    <n v="0.2525252525252525"/>
    <n v="0.0101010101010101"/>
    <n v="11.88"/>
    <n v="8.880000000000001"/>
    <x v="0"/>
  </r>
  <r>
    <x v="4"/>
    <x v="4"/>
    <x v="2"/>
    <x v="1"/>
    <n v="2905"/>
    <n v="10"/>
    <n v="300"/>
    <n v="871500"/>
    <n v="8715"/>
    <n v="862785"/>
    <n v="726250"/>
    <n v="136535"/>
    <d v="2014-01-11T00:00:00"/>
    <n v="11"/>
    <s v=" November "/>
    <x v="0"/>
    <n v="0"/>
    <n v="0.1582491582491583"/>
    <n v="0.8417508417508418"/>
    <n v="0.0101010101010101"/>
    <n v="297"/>
    <n v="47"/>
    <x v="0"/>
  </r>
  <r>
    <x v="0"/>
    <x v="2"/>
    <x v="2"/>
    <x v="1"/>
    <n v="2155"/>
    <n v="10"/>
    <n v="350"/>
    <n v="754250"/>
    <n v="7542.5"/>
    <n v="746707.5"/>
    <n v="560300"/>
    <n v="186407.5"/>
    <d v="2014-01-12T00:00:00"/>
    <n v="12"/>
    <s v=" December "/>
    <x v="0"/>
    <n v="0"/>
    <n v="0.2496392496392496"/>
    <n v="0.7503607503607503"/>
    <n v="0.0101010101010101"/>
    <n v="346.5"/>
    <n v="86.5"/>
    <x v="0"/>
  </r>
  <r>
    <x v="0"/>
    <x v="2"/>
    <x v="3"/>
    <x v="1"/>
    <n v="3864"/>
    <n v="120"/>
    <n v="20"/>
    <n v="77280"/>
    <n v="772.8"/>
    <n v="76507.2"/>
    <n v="38640"/>
    <n v="37867.2"/>
    <d v="2014-01-04T00:00:00"/>
    <n v="4"/>
    <s v=" April "/>
    <x v="0"/>
    <n v="0"/>
    <n v="0.4949494949494949"/>
    <n v="0.5050505050505051"/>
    <n v="0.0101010101010101"/>
    <n v="19.8"/>
    <n v="9.799999999999999"/>
    <x v="0"/>
  </r>
  <r>
    <x v="0"/>
    <x v="3"/>
    <x v="3"/>
    <x v="1"/>
    <n v="362"/>
    <n v="120"/>
    <n v="7"/>
    <n v="2534"/>
    <n v="25.34"/>
    <n v="2508.66"/>
    <n v="1810"/>
    <n v="698.66"/>
    <d v="2014-01-05T00:00:00"/>
    <n v="5"/>
    <s v=" May "/>
    <x v="0"/>
    <n v="0"/>
    <n v="0.2784992784992785"/>
    <n v="0.7215007215007215"/>
    <n v="0.0101010101010101"/>
    <n v="6.93"/>
    <n v="1.93"/>
    <x v="0"/>
  </r>
  <r>
    <x v="3"/>
    <x v="0"/>
    <x v="3"/>
    <x v="1"/>
    <n v="923"/>
    <n v="120"/>
    <n v="125"/>
    <n v="115375"/>
    <n v="1153.75"/>
    <n v="114221.25"/>
    <n v="110760"/>
    <n v="3461.25"/>
    <d v="2014-01-08T00:00:00"/>
    <n v="8"/>
    <s v=" August "/>
    <x v="0"/>
    <n v="0"/>
    <n v="0.0303030303030303"/>
    <n v="0.9696969696969697"/>
    <n v="0.0101010101010101"/>
    <n v="123.75"/>
    <n v="3.75"/>
    <x v="0"/>
  </r>
  <r>
    <x v="3"/>
    <x v="4"/>
    <x v="3"/>
    <x v="1"/>
    <n v="663"/>
    <n v="120"/>
    <n v="125"/>
    <n v="82875"/>
    <n v="828.75"/>
    <n v="82046.25"/>
    <n v="79560"/>
    <n v="2486.25"/>
    <d v="2013-01-10T00:00:00"/>
    <n v="10"/>
    <s v=" October "/>
    <x v="1"/>
    <n v="0"/>
    <n v="0.0303030303030303"/>
    <n v="0.9696969696969697"/>
    <n v="0.0101010101010101"/>
    <n v="123.75"/>
    <n v="3.75"/>
    <x v="0"/>
  </r>
  <r>
    <x v="0"/>
    <x v="0"/>
    <x v="3"/>
    <x v="1"/>
    <n v="2092"/>
    <n v="120"/>
    <n v="7"/>
    <n v="14644"/>
    <n v="146.44"/>
    <n v="14497.56"/>
    <n v="10460"/>
    <n v="4037.56"/>
    <d v="2013-01-11T00:00:00"/>
    <n v="11"/>
    <s v=" November "/>
    <x v="1"/>
    <n v="0"/>
    <n v="0.2784992784992785"/>
    <n v="0.7215007215007215"/>
    <n v="0.0101010101010101"/>
    <n v="6.93"/>
    <n v="1.93"/>
    <x v="0"/>
  </r>
  <r>
    <x v="0"/>
    <x v="1"/>
    <x v="4"/>
    <x v="1"/>
    <n v="263"/>
    <n v="250"/>
    <n v="7"/>
    <n v="1841"/>
    <n v="18.41"/>
    <n v="1822.59"/>
    <n v="1315"/>
    <n v="507.59"/>
    <d v="2014-01-03T00:00:00"/>
    <n v="3"/>
    <s v=" March "/>
    <x v="0"/>
    <n v="0"/>
    <n v="0.2784992784992785"/>
    <n v="0.7215007215007215"/>
    <n v="0.0101010101010101"/>
    <n v="6.93"/>
    <n v="1.93"/>
    <x v="0"/>
  </r>
  <r>
    <x v="0"/>
    <x v="0"/>
    <x v="4"/>
    <x v="1"/>
    <n v="943.5"/>
    <n v="250"/>
    <n v="350"/>
    <n v="330225"/>
    <n v="3302.25"/>
    <n v="326922.75"/>
    <n v="245310"/>
    <n v="81612.75"/>
    <d v="2014-01-04T00:00:00"/>
    <n v="4"/>
    <s v=" April "/>
    <x v="0"/>
    <n v="1"/>
    <n v="0.2496392496392496"/>
    <n v="0.7503607503607503"/>
    <n v="0.0101010101010101"/>
    <n v="346.5"/>
    <n v="86.5"/>
    <x v="0"/>
  </r>
  <r>
    <x v="3"/>
    <x v="4"/>
    <x v="4"/>
    <x v="1"/>
    <n v="727"/>
    <n v="250"/>
    <n v="125"/>
    <n v="90875"/>
    <n v="908.75"/>
    <n v="89966.25"/>
    <n v="87240"/>
    <n v="2726.25"/>
    <d v="2014-01-06T00:00:00"/>
    <n v="6"/>
    <s v=" June "/>
    <x v="0"/>
    <n v="0"/>
    <n v="0.0303030303030303"/>
    <n v="0.9696969696969697"/>
    <n v="0.0101010101010101"/>
    <n v="123.75"/>
    <n v="3.75"/>
    <x v="0"/>
  </r>
  <r>
    <x v="3"/>
    <x v="2"/>
    <x v="4"/>
    <x v="1"/>
    <n v="787"/>
    <n v="250"/>
    <n v="125"/>
    <n v="98375"/>
    <n v="983.75"/>
    <n v="97391.25"/>
    <n v="94440"/>
    <n v="2951.25"/>
    <d v="2014-01-06T00:00:00"/>
    <n v="6"/>
    <s v=" June "/>
    <x v="0"/>
    <n v="0"/>
    <n v="0.0303030303030303"/>
    <n v="0.9696969696969697"/>
    <n v="0.0101010101010101"/>
    <n v="123.75"/>
    <n v="3.75"/>
    <x v="0"/>
  </r>
  <r>
    <x v="4"/>
    <x v="1"/>
    <x v="4"/>
    <x v="1"/>
    <n v="986"/>
    <n v="250"/>
    <n v="300"/>
    <n v="295800"/>
    <n v="2958"/>
    <n v="292842"/>
    <n v="246500"/>
    <n v="46342"/>
    <d v="2014-01-09T00:00:00"/>
    <n v="9"/>
    <s v=" September "/>
    <x v="0"/>
    <n v="0"/>
    <n v="0.1582491582491583"/>
    <n v="0.8417508417508418"/>
    <n v="0.0101010101010101"/>
    <n v="297"/>
    <n v="47"/>
    <x v="0"/>
  </r>
  <r>
    <x v="4"/>
    <x v="3"/>
    <x v="4"/>
    <x v="1"/>
    <n v="494"/>
    <n v="250"/>
    <n v="300"/>
    <n v="148200"/>
    <n v="1482"/>
    <n v="146718"/>
    <n v="123500"/>
    <n v="23218"/>
    <d v="2013-01-10T00:00:00"/>
    <n v="10"/>
    <s v=" October "/>
    <x v="1"/>
    <n v="0"/>
    <n v="0.1582491582491583"/>
    <n v="0.8417508417508418"/>
    <n v="0.0101010101010101"/>
    <n v="297"/>
    <n v="47"/>
    <x v="0"/>
  </r>
  <r>
    <x v="0"/>
    <x v="3"/>
    <x v="4"/>
    <x v="1"/>
    <n v="1397"/>
    <n v="250"/>
    <n v="350"/>
    <n v="488950"/>
    <n v="4889.5"/>
    <n v="484060.5"/>
    <n v="363220"/>
    <n v="120840.5"/>
    <d v="2014-01-10T00:00:00"/>
    <n v="10"/>
    <s v=" October "/>
    <x v="0"/>
    <n v="0"/>
    <n v="0.2496392496392496"/>
    <n v="0.7503607503607503"/>
    <n v="0.0101010101010101"/>
    <n v="346.5"/>
    <n v="86.5"/>
    <x v="0"/>
  </r>
  <r>
    <x v="3"/>
    <x v="2"/>
    <x v="4"/>
    <x v="1"/>
    <n v="1744"/>
    <n v="250"/>
    <n v="125"/>
    <n v="218000"/>
    <n v="2180"/>
    <n v="215820"/>
    <n v="209280"/>
    <n v="6540"/>
    <d v="2014-01-11T00:00:00"/>
    <n v="11"/>
    <s v=" November "/>
    <x v="0"/>
    <n v="0"/>
    <n v="0.0303030303030303"/>
    <n v="0.9696969696969697"/>
    <n v="0.0101010101010101"/>
    <n v="123.75"/>
    <n v="3.75"/>
    <x v="0"/>
  </r>
  <r>
    <x v="2"/>
    <x v="4"/>
    <x v="5"/>
    <x v="1"/>
    <n v="1989"/>
    <n v="260"/>
    <n v="12"/>
    <n v="23868"/>
    <n v="238.68"/>
    <n v="23629.32"/>
    <n v="5967"/>
    <n v="17662.32"/>
    <d v="2013-01-09T00:00:00"/>
    <n v="9"/>
    <s v=" September "/>
    <x v="1"/>
    <n v="0"/>
    <n v="0.7474747474747475"/>
    <n v="0.2525252525252525"/>
    <n v="0.0101010101010101"/>
    <n v="11.88"/>
    <n v="8.879999999999999"/>
    <x v="0"/>
  </r>
  <r>
    <x v="1"/>
    <x v="2"/>
    <x v="5"/>
    <x v="1"/>
    <n v="321"/>
    <n v="260"/>
    <n v="15"/>
    <n v="4815"/>
    <n v="48.15"/>
    <n v="4766.85"/>
    <n v="3210"/>
    <n v="1556.85"/>
    <d v="2013-01-11T00:00:00"/>
    <n v="11"/>
    <s v=" November "/>
    <x v="1"/>
    <n v="0"/>
    <n v="0.3265993265993266"/>
    <n v="0.6734006734006733"/>
    <n v="0.0101010101010101"/>
    <n v="14.85"/>
    <n v="4.85"/>
    <x v="0"/>
  </r>
  <r>
    <x v="3"/>
    <x v="0"/>
    <x v="0"/>
    <x v="1"/>
    <n v="742.5"/>
    <n v="3"/>
    <n v="125"/>
    <n v="92812.5"/>
    <n v="1856.25"/>
    <n v="90956.25"/>
    <n v="89100"/>
    <n v="1856.25"/>
    <d v="2014-01-04T00:00:00"/>
    <n v="4"/>
    <s v=" April "/>
    <x v="0"/>
    <n v="1"/>
    <n v="0.02040816326530612"/>
    <n v="0.9795918367346939"/>
    <n v="0.02040816326530612"/>
    <n v="122.5"/>
    <n v="2.5"/>
    <x v="0"/>
  </r>
  <r>
    <x v="2"/>
    <x v="0"/>
    <x v="0"/>
    <x v="1"/>
    <n v="1295"/>
    <n v="3"/>
    <n v="12"/>
    <n v="15540"/>
    <n v="310.8"/>
    <n v="15229.2"/>
    <n v="3885"/>
    <n v="11344.2"/>
    <d v="2014-01-10T00:00:00"/>
    <n v="10"/>
    <s v=" October "/>
    <x v="0"/>
    <n v="0"/>
    <n v="0.7448979591836735"/>
    <n v="0.2551020408163265"/>
    <n v="0.02040816326530612"/>
    <n v="11.76"/>
    <n v="8.76"/>
    <x v="0"/>
  </r>
  <r>
    <x v="4"/>
    <x v="1"/>
    <x v="0"/>
    <x v="1"/>
    <n v="214"/>
    <n v="3"/>
    <n v="300"/>
    <n v="64200"/>
    <n v="1284"/>
    <n v="62916"/>
    <n v="53500"/>
    <n v="9416"/>
    <d v="2013-01-10T00:00:00"/>
    <n v="10"/>
    <s v=" October "/>
    <x v="1"/>
    <n v="0"/>
    <n v="0.1496598639455782"/>
    <n v="0.8503401360544217"/>
    <n v="0.02040816326530612"/>
    <n v="294"/>
    <n v="44"/>
    <x v="0"/>
  </r>
  <r>
    <x v="0"/>
    <x v="2"/>
    <x v="0"/>
    <x v="1"/>
    <n v="2145"/>
    <n v="3"/>
    <n v="7"/>
    <n v="15015"/>
    <n v="300.3"/>
    <n v="14714.7"/>
    <n v="10725"/>
    <n v="3989.7"/>
    <d v="2013-01-11T00:00:00"/>
    <n v="11"/>
    <s v=" November "/>
    <x v="1"/>
    <n v="0"/>
    <n v="0.271137026239067"/>
    <n v="0.7288629737609329"/>
    <n v="0.02040816326530612"/>
    <n v="6.86"/>
    <n v="1.86"/>
    <x v="0"/>
  </r>
  <r>
    <x v="0"/>
    <x v="0"/>
    <x v="0"/>
    <x v="1"/>
    <n v="2852"/>
    <n v="3"/>
    <n v="350"/>
    <n v="998200"/>
    <n v="19964"/>
    <n v="978236"/>
    <n v="741520"/>
    <n v="236716"/>
    <d v="2014-01-12T00:00:00"/>
    <n v="12"/>
    <s v=" December "/>
    <x v="0"/>
    <n v="0"/>
    <n v="0.2419825072886297"/>
    <n v="0.7580174927113703"/>
    <n v="0.02040816326530612"/>
    <n v="343"/>
    <n v="83"/>
    <x v="0"/>
  </r>
  <r>
    <x v="2"/>
    <x v="4"/>
    <x v="1"/>
    <x v="1"/>
    <n v="1142"/>
    <n v="5"/>
    <n v="12"/>
    <n v="13704"/>
    <n v="274.08"/>
    <n v="13429.92"/>
    <n v="3426"/>
    <n v="10003.92"/>
    <d v="2014-01-06T00:00:00"/>
    <n v="6"/>
    <s v=" June "/>
    <x v="0"/>
    <n v="0"/>
    <n v="0.7448979591836735"/>
    <n v="0.2551020408163265"/>
    <n v="0.02040816326530612"/>
    <n v="11.76"/>
    <n v="8.76"/>
    <x v="0"/>
  </r>
  <r>
    <x v="0"/>
    <x v="4"/>
    <x v="1"/>
    <x v="1"/>
    <n v="1566"/>
    <n v="5"/>
    <n v="20"/>
    <n v="31320"/>
    <n v="626.4"/>
    <n v="30693.6"/>
    <n v="15660"/>
    <n v="15033.6"/>
    <d v="2014-01-10T00:00:00"/>
    <n v="10"/>
    <s v=" October "/>
    <x v="0"/>
    <n v="0"/>
    <n v="0.489795918367347"/>
    <n v="0.5102040816326531"/>
    <n v="0.02040816326530612"/>
    <n v="19.6"/>
    <n v="9.6"/>
    <x v="0"/>
  </r>
  <r>
    <x v="2"/>
    <x v="3"/>
    <x v="1"/>
    <x v="1"/>
    <n v="690"/>
    <n v="5"/>
    <n v="12"/>
    <n v="8280"/>
    <n v="165.6"/>
    <n v="8114.4"/>
    <n v="2070"/>
    <n v="6044.4"/>
    <d v="2014-01-11T00:00:00"/>
    <n v="11"/>
    <s v=" November "/>
    <x v="0"/>
    <n v="0"/>
    <n v="0.7448979591836734"/>
    <n v="0.2551020408163265"/>
    <n v="0.02040816326530612"/>
    <n v="11.76"/>
    <n v="8.76"/>
    <x v="0"/>
  </r>
  <r>
    <x v="3"/>
    <x v="3"/>
    <x v="1"/>
    <x v="1"/>
    <n v="1660"/>
    <n v="5"/>
    <n v="125"/>
    <n v="207500"/>
    <n v="4150"/>
    <n v="203350"/>
    <n v="199200"/>
    <n v="4150"/>
    <d v="2013-01-11T00:00:00"/>
    <n v="11"/>
    <s v=" November "/>
    <x v="1"/>
    <n v="0"/>
    <n v="0.02040816326530612"/>
    <n v="0.9795918367346939"/>
    <n v="0.02040816326530612"/>
    <n v="122.5"/>
    <n v="2.5"/>
    <x v="0"/>
  </r>
  <r>
    <x v="1"/>
    <x v="0"/>
    <x v="2"/>
    <x v="1"/>
    <n v="2363"/>
    <n v="10"/>
    <n v="15"/>
    <n v="35445"/>
    <n v="708.9"/>
    <n v="34736.1"/>
    <n v="23630"/>
    <n v="11106.1"/>
    <d v="2014-01-02T00:00:00"/>
    <n v="2"/>
    <s v=" February "/>
    <x v="0"/>
    <n v="0"/>
    <n v="0.3197278911564626"/>
    <n v="0.6802721088435374"/>
    <n v="0.02040816326530612"/>
    <n v="14.7"/>
    <n v="4.7"/>
    <x v="0"/>
  </r>
  <r>
    <x v="4"/>
    <x v="2"/>
    <x v="2"/>
    <x v="1"/>
    <n v="918"/>
    <n v="10"/>
    <n v="300"/>
    <n v="275400"/>
    <n v="5508"/>
    <n v="269892"/>
    <n v="229500"/>
    <n v="40392"/>
    <d v="2014-01-05T00:00:00"/>
    <n v="5"/>
    <s v=" May "/>
    <x v="0"/>
    <n v="0"/>
    <n v="0.1496598639455782"/>
    <n v="0.8503401360544217"/>
    <n v="0.02040816326530612"/>
    <n v="294"/>
    <n v="44"/>
    <x v="0"/>
  </r>
  <r>
    <x v="4"/>
    <x v="1"/>
    <x v="2"/>
    <x v="1"/>
    <n v="1728"/>
    <n v="10"/>
    <n v="300"/>
    <n v="518400"/>
    <n v="10368"/>
    <n v="508032"/>
    <n v="432000"/>
    <n v="76032"/>
    <d v="2014-01-05T00:00:00"/>
    <n v="5"/>
    <s v=" May "/>
    <x v="0"/>
    <n v="0"/>
    <n v="0.1496598639455782"/>
    <n v="0.8503401360544217"/>
    <n v="0.02040816326530612"/>
    <n v="294"/>
    <n v="44"/>
    <x v="0"/>
  </r>
  <r>
    <x v="2"/>
    <x v="4"/>
    <x v="2"/>
    <x v="1"/>
    <n v="1142"/>
    <n v="10"/>
    <n v="12"/>
    <n v="13704"/>
    <n v="274.08"/>
    <n v="13429.92"/>
    <n v="3426"/>
    <n v="10003.92"/>
    <d v="2014-01-06T00:00:00"/>
    <n v="6"/>
    <s v=" June "/>
    <x v="0"/>
    <n v="0"/>
    <n v="0.7448979591836735"/>
    <n v="0.2551020408163265"/>
    <n v="0.02040816326530612"/>
    <n v="11.76"/>
    <n v="8.76"/>
    <x v="0"/>
  </r>
  <r>
    <x v="3"/>
    <x v="3"/>
    <x v="2"/>
    <x v="1"/>
    <n v="662"/>
    <n v="10"/>
    <n v="125"/>
    <n v="82750"/>
    <n v="1655"/>
    <n v="81095"/>
    <n v="79440"/>
    <n v="1655"/>
    <d v="2014-01-06T00:00:00"/>
    <n v="6"/>
    <s v=" June "/>
    <x v="0"/>
    <n v="0"/>
    <n v="0.02040816326530612"/>
    <n v="0.9795918367346939"/>
    <n v="0.02040816326530612"/>
    <n v="122.5"/>
    <n v="2.5"/>
    <x v="0"/>
  </r>
  <r>
    <x v="2"/>
    <x v="0"/>
    <x v="2"/>
    <x v="1"/>
    <n v="1295"/>
    <n v="10"/>
    <n v="12"/>
    <n v="15540"/>
    <n v="310.8"/>
    <n v="15229.2"/>
    <n v="3885"/>
    <n v="11344.2"/>
    <d v="2014-01-10T00:00:00"/>
    <n v="10"/>
    <s v=" October "/>
    <x v="0"/>
    <n v="0"/>
    <n v="0.7448979591836735"/>
    <n v="0.2551020408163265"/>
    <n v="0.02040816326530612"/>
    <n v="11.76"/>
    <n v="8.76"/>
    <x v="0"/>
  </r>
  <r>
    <x v="3"/>
    <x v="1"/>
    <x v="2"/>
    <x v="1"/>
    <n v="809"/>
    <n v="10"/>
    <n v="125"/>
    <n v="101125"/>
    <n v="2022.5"/>
    <n v="99102.5"/>
    <n v="97080"/>
    <n v="2022.5"/>
    <d v="2013-01-10T00:00:00"/>
    <n v="10"/>
    <s v=" October "/>
    <x v="1"/>
    <n v="0"/>
    <n v="0.02040816326530612"/>
    <n v="0.9795918367346939"/>
    <n v="0.02040816326530612"/>
    <n v="122.5"/>
    <n v="2.5"/>
    <x v="0"/>
  </r>
  <r>
    <x v="3"/>
    <x v="3"/>
    <x v="2"/>
    <x v="1"/>
    <n v="2145"/>
    <n v="10"/>
    <n v="125"/>
    <n v="268125"/>
    <n v="5362.5"/>
    <n v="262762.5"/>
    <n v="257400"/>
    <n v="5362.5"/>
    <d v="2013-01-10T00:00:00"/>
    <n v="10"/>
    <s v=" October "/>
    <x v="1"/>
    <n v="0"/>
    <n v="0.02040816326530612"/>
    <n v="0.9795918367346939"/>
    <n v="0.02040816326530612"/>
    <n v="122.5"/>
    <n v="2.5"/>
    <x v="0"/>
  </r>
  <r>
    <x v="2"/>
    <x v="2"/>
    <x v="2"/>
    <x v="1"/>
    <n v="1785"/>
    <n v="10"/>
    <n v="12"/>
    <n v="21420"/>
    <n v="428.4"/>
    <n v="20991.6"/>
    <n v="5355"/>
    <n v="15636.6"/>
    <d v="2013-01-11T00:00:00"/>
    <n v="11"/>
    <s v=" November "/>
    <x v="1"/>
    <n v="0"/>
    <n v="0.7448979591836735"/>
    <n v="0.2551020408163265"/>
    <n v="0.02040816326530612"/>
    <n v="11.76"/>
    <n v="8.76"/>
    <x v="0"/>
  </r>
  <r>
    <x v="4"/>
    <x v="0"/>
    <x v="2"/>
    <x v="1"/>
    <n v="1916"/>
    <n v="10"/>
    <n v="300"/>
    <n v="574800"/>
    <n v="11496"/>
    <n v="563304"/>
    <n v="479000"/>
    <n v="84304"/>
    <d v="2014-01-12T00:00:00"/>
    <n v="12"/>
    <s v=" December "/>
    <x v="0"/>
    <n v="0"/>
    <n v="0.1496598639455782"/>
    <n v="0.8503401360544217"/>
    <n v="0.02040816326530612"/>
    <n v="294"/>
    <n v="44"/>
    <x v="0"/>
  </r>
  <r>
    <x v="0"/>
    <x v="0"/>
    <x v="2"/>
    <x v="1"/>
    <n v="2852"/>
    <n v="10"/>
    <n v="350"/>
    <n v="998200"/>
    <n v="19964"/>
    <n v="978236"/>
    <n v="741520"/>
    <n v="236716"/>
    <d v="2014-01-12T00:00:00"/>
    <n v="12"/>
    <s v=" December "/>
    <x v="0"/>
    <n v="0"/>
    <n v="0.2419825072886297"/>
    <n v="0.7580174927113703"/>
    <n v="0.02040816326530612"/>
    <n v="343"/>
    <n v="83"/>
    <x v="0"/>
  </r>
  <r>
    <x v="3"/>
    <x v="0"/>
    <x v="2"/>
    <x v="1"/>
    <n v="2729"/>
    <n v="10"/>
    <n v="125"/>
    <n v="341125"/>
    <n v="6822.5"/>
    <n v="334302.5"/>
    <n v="327480"/>
    <n v="6822.5"/>
    <d v="2014-01-12T00:00:00"/>
    <n v="12"/>
    <s v=" December "/>
    <x v="0"/>
    <n v="0"/>
    <n v="0.02040816326530612"/>
    <n v="0.9795918367346939"/>
    <n v="0.02040816326530612"/>
    <n v="122.5"/>
    <n v="2.5"/>
    <x v="0"/>
  </r>
  <r>
    <x v="1"/>
    <x v="4"/>
    <x v="2"/>
    <x v="1"/>
    <n v="1925"/>
    <n v="10"/>
    <n v="15"/>
    <n v="28875"/>
    <n v="577.5"/>
    <n v="28297.5"/>
    <n v="19250"/>
    <n v="9047.5"/>
    <d v="2013-01-12T00:00:00"/>
    <n v="12"/>
    <s v=" December "/>
    <x v="1"/>
    <n v="0"/>
    <n v="0.3197278911564626"/>
    <n v="0.6802721088435374"/>
    <n v="0.02040816326530612"/>
    <n v="14.7"/>
    <n v="4.7"/>
    <x v="0"/>
  </r>
  <r>
    <x v="0"/>
    <x v="4"/>
    <x v="2"/>
    <x v="1"/>
    <n v="2013"/>
    <n v="10"/>
    <n v="7"/>
    <n v="14091"/>
    <n v="281.82"/>
    <n v="13809.18"/>
    <n v="10065"/>
    <n v="3744.18"/>
    <d v="2013-01-12T00:00:00"/>
    <n v="12"/>
    <s v=" December "/>
    <x v="1"/>
    <n v="0"/>
    <n v="0.271137026239067"/>
    <n v="0.7288629737609329"/>
    <n v="0.02040816326530612"/>
    <n v="6.86"/>
    <n v="1.86"/>
    <x v="0"/>
  </r>
  <r>
    <x v="2"/>
    <x v="2"/>
    <x v="2"/>
    <x v="1"/>
    <n v="1055"/>
    <n v="10"/>
    <n v="12"/>
    <n v="12660"/>
    <n v="253.2"/>
    <n v="12406.8"/>
    <n v="3165"/>
    <n v="9241.799999999999"/>
    <d v="2014-01-12T00:00:00"/>
    <n v="12"/>
    <s v=" December "/>
    <x v="0"/>
    <n v="0"/>
    <n v="0.7448979591836734"/>
    <n v="0.2551020408163265"/>
    <n v="0.02040816326530612"/>
    <n v="11.76"/>
    <n v="8.76"/>
    <x v="0"/>
  </r>
  <r>
    <x v="2"/>
    <x v="3"/>
    <x v="2"/>
    <x v="1"/>
    <n v="1084"/>
    <n v="10"/>
    <n v="12"/>
    <n v="13008"/>
    <n v="260.16"/>
    <n v="12747.84"/>
    <n v="3252"/>
    <n v="9495.84"/>
    <d v="2014-01-12T00:00:00"/>
    <n v="12"/>
    <s v=" December "/>
    <x v="0"/>
    <n v="0"/>
    <n v="0.7448979591836735"/>
    <n v="0.2551020408163265"/>
    <n v="0.02040816326530612"/>
    <n v="11.76"/>
    <n v="8.76"/>
    <x v="0"/>
  </r>
  <r>
    <x v="0"/>
    <x v="4"/>
    <x v="3"/>
    <x v="1"/>
    <n v="1566"/>
    <n v="120"/>
    <n v="20"/>
    <n v="31320"/>
    <n v="626.4"/>
    <n v="30693.6"/>
    <n v="15660"/>
    <n v="15033.6"/>
    <d v="2014-01-10T00:00:00"/>
    <n v="10"/>
    <s v=" October "/>
    <x v="0"/>
    <n v="0"/>
    <n v="0.489795918367347"/>
    <n v="0.5102040816326531"/>
    <n v="0.02040816326530612"/>
    <n v="19.6"/>
    <n v="9.6"/>
    <x v="0"/>
  </r>
  <r>
    <x v="0"/>
    <x v="1"/>
    <x v="3"/>
    <x v="1"/>
    <n v="2966"/>
    <n v="120"/>
    <n v="350"/>
    <n v="1038100"/>
    <n v="20762"/>
    <n v="1017338"/>
    <n v="771160"/>
    <n v="246178"/>
    <d v="2013-01-10T00:00:00"/>
    <n v="10"/>
    <s v=" October "/>
    <x v="1"/>
    <n v="0"/>
    <n v="0.2419825072886297"/>
    <n v="0.7580174927113703"/>
    <n v="0.02040816326530612"/>
    <n v="343"/>
    <n v="83"/>
    <x v="0"/>
  </r>
  <r>
    <x v="0"/>
    <x v="1"/>
    <x v="3"/>
    <x v="1"/>
    <n v="2877"/>
    <n v="120"/>
    <n v="350"/>
    <n v="1006950"/>
    <n v="20139"/>
    <n v="986811"/>
    <n v="748020"/>
    <n v="238791"/>
    <d v="2014-01-10T00:00:00"/>
    <n v="10"/>
    <s v=" October "/>
    <x v="0"/>
    <n v="0"/>
    <n v="0.2419825072886297"/>
    <n v="0.7580174927113703"/>
    <n v="0.02040816326530612"/>
    <n v="343"/>
    <n v="83"/>
    <x v="0"/>
  </r>
  <r>
    <x v="3"/>
    <x v="1"/>
    <x v="3"/>
    <x v="1"/>
    <n v="809"/>
    <n v="120"/>
    <n v="125"/>
    <n v="101125"/>
    <n v="2022.5"/>
    <n v="99102.5"/>
    <n v="97080"/>
    <n v="2022.5"/>
    <d v="2013-01-10T00:00:00"/>
    <n v="10"/>
    <s v=" October "/>
    <x v="1"/>
    <n v="0"/>
    <n v="0.02040816326530612"/>
    <n v="0.9795918367346939"/>
    <n v="0.02040816326530612"/>
    <n v="122.5"/>
    <n v="2.5"/>
    <x v="0"/>
  </r>
  <r>
    <x v="3"/>
    <x v="3"/>
    <x v="3"/>
    <x v="1"/>
    <n v="2145"/>
    <n v="120"/>
    <n v="125"/>
    <n v="268125"/>
    <n v="5362.5"/>
    <n v="262762.5"/>
    <n v="257400"/>
    <n v="5362.5"/>
    <d v="2013-01-10T00:00:00"/>
    <n v="10"/>
    <s v=" October "/>
    <x v="1"/>
    <n v="0"/>
    <n v="0.02040816326530612"/>
    <n v="0.9795918367346939"/>
    <n v="0.02040816326530612"/>
    <n v="122.5"/>
    <n v="2.5"/>
    <x v="0"/>
  </r>
  <r>
    <x v="2"/>
    <x v="2"/>
    <x v="3"/>
    <x v="1"/>
    <n v="1055"/>
    <n v="120"/>
    <n v="12"/>
    <n v="12660"/>
    <n v="253.2"/>
    <n v="12406.8"/>
    <n v="3165"/>
    <n v="9241.799999999999"/>
    <d v="2014-01-12T00:00:00"/>
    <n v="12"/>
    <s v=" December "/>
    <x v="0"/>
    <n v="0"/>
    <n v="0.7448979591836734"/>
    <n v="0.2551020408163265"/>
    <n v="0.02040816326530612"/>
    <n v="11.76"/>
    <n v="8.76"/>
    <x v="0"/>
  </r>
  <r>
    <x v="0"/>
    <x v="3"/>
    <x v="3"/>
    <x v="1"/>
    <n v="544"/>
    <n v="120"/>
    <n v="20"/>
    <n v="10880"/>
    <n v="217.6"/>
    <n v="10662.4"/>
    <n v="5440"/>
    <n v="5222.4"/>
    <d v="2013-01-12T00:00:00"/>
    <n v="12"/>
    <s v=" December "/>
    <x v="1"/>
    <n v="0"/>
    <n v="0.4897959183673469"/>
    <n v="0.5102040816326531"/>
    <n v="0.02040816326530612"/>
    <n v="19.6"/>
    <n v="9.6"/>
    <x v="0"/>
  </r>
  <r>
    <x v="2"/>
    <x v="3"/>
    <x v="3"/>
    <x v="1"/>
    <n v="1084"/>
    <n v="120"/>
    <n v="12"/>
    <n v="13008"/>
    <n v="260.16"/>
    <n v="12747.84"/>
    <n v="3252"/>
    <n v="9495.84"/>
    <d v="2014-01-12T00:00:00"/>
    <n v="12"/>
    <s v=" December "/>
    <x v="0"/>
    <n v="0"/>
    <n v="0.7448979591836735"/>
    <n v="0.2551020408163265"/>
    <n v="0.02040816326530612"/>
    <n v="11.76"/>
    <n v="8.76"/>
    <x v="0"/>
  </r>
  <r>
    <x v="3"/>
    <x v="3"/>
    <x v="4"/>
    <x v="1"/>
    <n v="662"/>
    <n v="250"/>
    <n v="125"/>
    <n v="82750"/>
    <n v="1655"/>
    <n v="81095"/>
    <n v="79440"/>
    <n v="1655"/>
    <d v="2014-01-06T00:00:00"/>
    <n v="6"/>
    <s v=" June "/>
    <x v="0"/>
    <n v="0"/>
    <n v="0.02040816326530612"/>
    <n v="0.9795918367346939"/>
    <n v="0.02040816326530612"/>
    <n v="122.5"/>
    <n v="2.5"/>
    <x v="0"/>
  </r>
  <r>
    <x v="4"/>
    <x v="1"/>
    <x v="4"/>
    <x v="1"/>
    <n v="214"/>
    <n v="250"/>
    <n v="300"/>
    <n v="64200"/>
    <n v="1284"/>
    <n v="62916"/>
    <n v="53500"/>
    <n v="9416"/>
    <d v="2013-01-10T00:00:00"/>
    <n v="10"/>
    <s v=" October "/>
    <x v="1"/>
    <n v="0"/>
    <n v="0.1496598639455782"/>
    <n v="0.8503401360544217"/>
    <n v="0.02040816326530612"/>
    <n v="294"/>
    <n v="44"/>
    <x v="0"/>
  </r>
  <r>
    <x v="0"/>
    <x v="1"/>
    <x v="4"/>
    <x v="1"/>
    <n v="2877"/>
    <n v="250"/>
    <n v="350"/>
    <n v="1006950"/>
    <n v="20139"/>
    <n v="986811"/>
    <n v="748020"/>
    <n v="238791"/>
    <d v="2014-01-10T00:00:00"/>
    <n v="10"/>
    <s v=" October "/>
    <x v="0"/>
    <n v="0"/>
    <n v="0.2419825072886297"/>
    <n v="0.7580174927113703"/>
    <n v="0.02040816326530612"/>
    <n v="343"/>
    <n v="83"/>
    <x v="0"/>
  </r>
  <r>
    <x v="3"/>
    <x v="0"/>
    <x v="4"/>
    <x v="1"/>
    <n v="2729"/>
    <n v="250"/>
    <n v="125"/>
    <n v="341125"/>
    <n v="6822.5"/>
    <n v="334302.5"/>
    <n v="327480"/>
    <n v="6822.5"/>
    <d v="2014-01-12T00:00:00"/>
    <n v="12"/>
    <s v=" December "/>
    <x v="0"/>
    <n v="0"/>
    <n v="0.02040816326530612"/>
    <n v="0.9795918367346939"/>
    <n v="0.02040816326530612"/>
    <n v="122.5"/>
    <n v="2.5"/>
    <x v="0"/>
  </r>
  <r>
    <x v="0"/>
    <x v="4"/>
    <x v="4"/>
    <x v="1"/>
    <n v="266"/>
    <n v="250"/>
    <n v="350"/>
    <n v="93100"/>
    <n v="1862"/>
    <n v="91238"/>
    <n v="69160"/>
    <n v="22078"/>
    <d v="2013-01-12T00:00:00"/>
    <n v="12"/>
    <s v=" December "/>
    <x v="1"/>
    <n v="0"/>
    <n v="0.2419825072886297"/>
    <n v="0.7580174927113703"/>
    <n v="0.02040816326530612"/>
    <n v="343"/>
    <n v="83"/>
    <x v="0"/>
  </r>
  <r>
    <x v="0"/>
    <x v="3"/>
    <x v="4"/>
    <x v="1"/>
    <n v="1940"/>
    <n v="250"/>
    <n v="350"/>
    <n v="679000"/>
    <n v="13580"/>
    <n v="665420"/>
    <n v="504400"/>
    <n v="161020"/>
    <d v="2013-01-12T00:00:00"/>
    <n v="12"/>
    <s v=" December "/>
    <x v="1"/>
    <n v="0"/>
    <n v="0.2419825072886297"/>
    <n v="0.7580174927113703"/>
    <n v="0.02040816326530612"/>
    <n v="343"/>
    <n v="83"/>
    <x v="0"/>
  </r>
  <r>
    <x v="4"/>
    <x v="1"/>
    <x v="5"/>
    <x v="1"/>
    <n v="259"/>
    <n v="260"/>
    <n v="300"/>
    <n v="77700"/>
    <n v="1554"/>
    <n v="76146"/>
    <n v="64750"/>
    <n v="11396"/>
    <d v="2014-01-03T00:00:00"/>
    <n v="3"/>
    <s v=" March "/>
    <x v="0"/>
    <n v="0"/>
    <n v="0.1496598639455782"/>
    <n v="0.8503401360544217"/>
    <n v="0.02040816326530612"/>
    <n v="294"/>
    <n v="44"/>
    <x v="0"/>
  </r>
  <r>
    <x v="4"/>
    <x v="3"/>
    <x v="5"/>
    <x v="1"/>
    <n v="1101"/>
    <n v="260"/>
    <n v="300"/>
    <n v="330300"/>
    <n v="6606"/>
    <n v="323694"/>
    <n v="275250"/>
    <n v="48444"/>
    <d v="2014-01-03T00:00:00"/>
    <n v="3"/>
    <s v=" March "/>
    <x v="0"/>
    <n v="0"/>
    <n v="0.1496598639455782"/>
    <n v="0.8503401360544217"/>
    <n v="0.02040816326530612"/>
    <n v="294"/>
    <n v="44"/>
    <x v="0"/>
  </r>
  <r>
    <x v="3"/>
    <x v="1"/>
    <x v="5"/>
    <x v="1"/>
    <n v="2276"/>
    <n v="260"/>
    <n v="125"/>
    <n v="284500"/>
    <n v="5690"/>
    <n v="278810"/>
    <n v="273120"/>
    <n v="5690"/>
    <d v="2014-01-05T00:00:00"/>
    <n v="5"/>
    <s v=" May "/>
    <x v="0"/>
    <n v="0"/>
    <n v="0.02040816326530612"/>
    <n v="0.9795918367346939"/>
    <n v="0.02040816326530612"/>
    <n v="122.5"/>
    <n v="2.5"/>
    <x v="0"/>
  </r>
  <r>
    <x v="0"/>
    <x v="1"/>
    <x v="5"/>
    <x v="1"/>
    <n v="2966"/>
    <n v="260"/>
    <n v="350"/>
    <n v="1038100"/>
    <n v="20762"/>
    <n v="1017338"/>
    <n v="771160"/>
    <n v="246178"/>
    <d v="2013-01-10T00:00:00"/>
    <n v="10"/>
    <s v=" October "/>
    <x v="1"/>
    <n v="0"/>
    <n v="0.2419825072886297"/>
    <n v="0.7580174927113703"/>
    <n v="0.02040816326530612"/>
    <n v="343"/>
    <n v="83"/>
    <x v="0"/>
  </r>
  <r>
    <x v="0"/>
    <x v="4"/>
    <x v="5"/>
    <x v="1"/>
    <n v="1236"/>
    <n v="260"/>
    <n v="20"/>
    <n v="24720"/>
    <n v="494.4"/>
    <n v="24225.6"/>
    <n v="12360"/>
    <n v="11865.6"/>
    <d v="2014-01-11T00:00:00"/>
    <n v="11"/>
    <s v=" November "/>
    <x v="0"/>
    <n v="0"/>
    <n v="0.489795918367347"/>
    <n v="0.5102040816326531"/>
    <n v="0.02040816326530612"/>
    <n v="19.6"/>
    <n v="9.6"/>
    <x v="0"/>
  </r>
  <r>
    <x v="0"/>
    <x v="2"/>
    <x v="5"/>
    <x v="1"/>
    <n v="941"/>
    <n v="260"/>
    <n v="20"/>
    <n v="18820"/>
    <n v="376.4"/>
    <n v="18443.6"/>
    <n v="9410"/>
    <n v="9033.6"/>
    <d v="2014-01-11T00:00:00"/>
    <n v="11"/>
    <s v=" November "/>
    <x v="0"/>
    <n v="0"/>
    <n v="0.489795918367347"/>
    <n v="0.5102040816326531"/>
    <n v="0.02040816326530612"/>
    <n v="19.6"/>
    <n v="9.6"/>
    <x v="0"/>
  </r>
  <r>
    <x v="4"/>
    <x v="0"/>
    <x v="5"/>
    <x v="1"/>
    <n v="1916"/>
    <n v="260"/>
    <n v="300"/>
    <n v="574800"/>
    <n v="11496"/>
    <n v="563304"/>
    <n v="479000"/>
    <n v="84304"/>
    <d v="2014-01-12T00:00:00"/>
    <n v="12"/>
    <s v=" December "/>
    <x v="0"/>
    <n v="0"/>
    <n v="0.1496598639455782"/>
    <n v="0.8503401360544217"/>
    <n v="0.02040816326530612"/>
    <n v="294"/>
    <n v="44"/>
    <x v="0"/>
  </r>
  <r>
    <x v="3"/>
    <x v="2"/>
    <x v="0"/>
    <x v="1"/>
    <n v="4243.5"/>
    <n v="3"/>
    <n v="125"/>
    <n v="530437.5"/>
    <n v="15913.13"/>
    <n v="514524.38"/>
    <n v="509220"/>
    <n v="5304.38"/>
    <d v="2014-01-04T00:00:00"/>
    <n v="4"/>
    <s v=" April "/>
    <x v="0"/>
    <n v="1"/>
    <n v="0.01030928796804536"/>
    <n v="0.9896907120319546"/>
    <n v="0.03092784446871108"/>
    <n v="121.2500011782727"/>
    <n v="1.250001178272652"/>
    <x v="0"/>
  </r>
  <r>
    <x v="0"/>
    <x v="1"/>
    <x v="0"/>
    <x v="1"/>
    <n v="2580"/>
    <n v="3"/>
    <n v="20"/>
    <n v="51600"/>
    <n v="1548"/>
    <n v="50052"/>
    <n v="25800"/>
    <n v="24252"/>
    <d v="2014-01-04T00:00:00"/>
    <n v="4"/>
    <s v=" April "/>
    <x v="0"/>
    <n v="0"/>
    <n v="0.4845360824742268"/>
    <n v="0.5154639175257731"/>
    <n v="0.03092783505154639"/>
    <n v="19.4"/>
    <n v="9.4"/>
    <x v="0"/>
  </r>
  <r>
    <x v="4"/>
    <x v="1"/>
    <x v="0"/>
    <x v="1"/>
    <n v="689"/>
    <n v="3"/>
    <n v="300"/>
    <n v="206700"/>
    <n v="6201"/>
    <n v="200499"/>
    <n v="172250"/>
    <n v="28249"/>
    <d v="2014-01-06T00:00:00"/>
    <n v="6"/>
    <s v=" June "/>
    <x v="0"/>
    <n v="0"/>
    <n v="0.140893470790378"/>
    <n v="0.8591065292096219"/>
    <n v="0.03092783505154639"/>
    <n v="291"/>
    <n v="41"/>
    <x v="0"/>
  </r>
  <r>
    <x v="2"/>
    <x v="4"/>
    <x v="0"/>
    <x v="1"/>
    <n v="1947"/>
    <n v="3"/>
    <n v="12"/>
    <n v="23364"/>
    <n v="700.92"/>
    <n v="22663.08"/>
    <n v="5841"/>
    <n v="16822.08"/>
    <d v="2014-01-09T00:00:00"/>
    <n v="9"/>
    <s v=" September "/>
    <x v="0"/>
    <n v="0"/>
    <n v="0.7422680412371134"/>
    <n v="0.2577319587628866"/>
    <n v="0.03092783505154639"/>
    <n v="11.64"/>
    <n v="8.640000000000001"/>
    <x v="0"/>
  </r>
  <r>
    <x v="2"/>
    <x v="0"/>
    <x v="0"/>
    <x v="1"/>
    <n v="908"/>
    <n v="3"/>
    <n v="12"/>
    <n v="10896"/>
    <n v="326.88"/>
    <n v="10569.12"/>
    <n v="2724"/>
    <n v="7845.12"/>
    <d v="2013-01-12T00:00:00"/>
    <n v="12"/>
    <s v=" December "/>
    <x v="1"/>
    <n v="0"/>
    <n v="0.7422680412371133"/>
    <n v="0.2577319587628866"/>
    <n v="0.03092783505154639"/>
    <n v="11.64"/>
    <n v="8.640000000000001"/>
    <x v="0"/>
  </r>
  <r>
    <x v="0"/>
    <x v="1"/>
    <x v="1"/>
    <x v="1"/>
    <n v="1958"/>
    <n v="5"/>
    <n v="7"/>
    <n v="13706"/>
    <n v="411.18"/>
    <n v="13294.82"/>
    <n v="9790"/>
    <n v="3504.82"/>
    <d v="2014-01-02T00:00:00"/>
    <n v="2"/>
    <s v=" February "/>
    <x v="0"/>
    <n v="0"/>
    <n v="0.2636229749631812"/>
    <n v="0.7363770250368189"/>
    <n v="0.03092783505154639"/>
    <n v="6.79"/>
    <n v="1.79"/>
    <x v="0"/>
  </r>
  <r>
    <x v="2"/>
    <x v="2"/>
    <x v="1"/>
    <x v="1"/>
    <n v="1901"/>
    <n v="5"/>
    <n v="12"/>
    <n v="22812"/>
    <n v="684.36"/>
    <n v="22127.64"/>
    <n v="5703"/>
    <n v="16424.64"/>
    <d v="2014-01-06T00:00:00"/>
    <n v="6"/>
    <s v=" June "/>
    <x v="0"/>
    <n v="0"/>
    <n v="0.7422680412371134"/>
    <n v="0.2577319587628866"/>
    <n v="0.03092783505154639"/>
    <n v="11.64"/>
    <n v="8.640000000000001"/>
    <x v="0"/>
  </r>
  <r>
    <x v="0"/>
    <x v="2"/>
    <x v="1"/>
    <x v="1"/>
    <n v="544"/>
    <n v="5"/>
    <n v="7"/>
    <n v="3808"/>
    <n v="114.24"/>
    <n v="3693.76"/>
    <n v="2720"/>
    <n v="973.76"/>
    <d v="2014-01-09T00:00:00"/>
    <n v="9"/>
    <s v=" September "/>
    <x v="0"/>
    <n v="0"/>
    <n v="0.2636229749631812"/>
    <n v="0.7363770250368188"/>
    <n v="0.03092783505154639"/>
    <n v="6.79"/>
    <n v="1.79"/>
    <x v="0"/>
  </r>
  <r>
    <x v="0"/>
    <x v="1"/>
    <x v="1"/>
    <x v="1"/>
    <n v="1797"/>
    <n v="5"/>
    <n v="350"/>
    <n v="628950"/>
    <n v="18868.5"/>
    <n v="610081.5"/>
    <n v="467220"/>
    <n v="142861.5"/>
    <d v="2013-01-09T00:00:00"/>
    <n v="9"/>
    <s v=" September "/>
    <x v="1"/>
    <n v="0"/>
    <n v="0.2341678939617084"/>
    <n v="0.7658321060382917"/>
    <n v="0.03092783505154639"/>
    <n v="339.5"/>
    <n v="79.5"/>
    <x v="0"/>
  </r>
  <r>
    <x v="3"/>
    <x v="2"/>
    <x v="1"/>
    <x v="1"/>
    <n v="1287"/>
    <n v="5"/>
    <n v="125"/>
    <n v="160875"/>
    <n v="4826.25"/>
    <n v="156048.75"/>
    <n v="154440"/>
    <n v="1608.75"/>
    <d v="2014-01-12T00:00:00"/>
    <n v="12"/>
    <s v=" December "/>
    <x v="0"/>
    <n v="0"/>
    <n v="0.01030927835051546"/>
    <n v="0.9896907216494846"/>
    <n v="0.03092783505154639"/>
    <n v="121.25"/>
    <n v="1.25"/>
    <x v="0"/>
  </r>
  <r>
    <x v="3"/>
    <x v="1"/>
    <x v="1"/>
    <x v="1"/>
    <n v="1706"/>
    <n v="5"/>
    <n v="125"/>
    <n v="213250"/>
    <n v="6397.5"/>
    <n v="206852.5"/>
    <n v="204720"/>
    <n v="2132.5"/>
    <d v="2014-01-12T00:00:00"/>
    <n v="12"/>
    <s v=" December "/>
    <x v="0"/>
    <n v="0"/>
    <n v="0.01030927835051546"/>
    <n v="0.9896907216494846"/>
    <n v="0.03092783505154639"/>
    <n v="121.25"/>
    <n v="1.25"/>
    <x v="0"/>
  </r>
  <r>
    <x v="4"/>
    <x v="2"/>
    <x v="2"/>
    <x v="1"/>
    <n v="2434.5"/>
    <n v="10"/>
    <n v="300"/>
    <n v="730350"/>
    <n v="21910.5"/>
    <n v="708439.5"/>
    <n v="608625"/>
    <n v="99814.5"/>
    <d v="2014-01-01T00:00:00"/>
    <n v="1"/>
    <s v=" January "/>
    <x v="0"/>
    <n v="1"/>
    <n v="0.140893470790378"/>
    <n v="0.8591065292096219"/>
    <n v="0.03092783505154639"/>
    <n v="291"/>
    <n v="41"/>
    <x v="0"/>
  </r>
  <r>
    <x v="3"/>
    <x v="0"/>
    <x v="2"/>
    <x v="1"/>
    <n v="1774"/>
    <n v="10"/>
    <n v="125"/>
    <n v="221750"/>
    <n v="6652.5"/>
    <n v="215097.5"/>
    <n v="212880"/>
    <n v="2217.5"/>
    <d v="2014-01-03T00:00:00"/>
    <n v="3"/>
    <s v=" March "/>
    <x v="0"/>
    <n v="0"/>
    <n v="0.01030927835051546"/>
    <n v="0.9896907216494846"/>
    <n v="0.03092783505154639"/>
    <n v="121.25"/>
    <n v="1.25"/>
    <x v="0"/>
  </r>
  <r>
    <x v="2"/>
    <x v="2"/>
    <x v="2"/>
    <x v="1"/>
    <n v="1901"/>
    <n v="10"/>
    <n v="12"/>
    <n v="22812"/>
    <n v="684.36"/>
    <n v="22127.64"/>
    <n v="5703"/>
    <n v="16424.64"/>
    <d v="2014-01-06T00:00:00"/>
    <n v="6"/>
    <s v=" June "/>
    <x v="0"/>
    <n v="0"/>
    <n v="0.7422680412371134"/>
    <n v="0.2577319587628866"/>
    <n v="0.03092783505154639"/>
    <n v="11.64"/>
    <n v="8.640000000000001"/>
    <x v="0"/>
  </r>
  <r>
    <x v="4"/>
    <x v="1"/>
    <x v="2"/>
    <x v="1"/>
    <n v="689"/>
    <n v="10"/>
    <n v="300"/>
    <n v="206700"/>
    <n v="6201"/>
    <n v="200499"/>
    <n v="172250"/>
    <n v="28249"/>
    <d v="2014-01-06T00:00:00"/>
    <n v="6"/>
    <s v=" June "/>
    <x v="0"/>
    <n v="0"/>
    <n v="0.140893470790378"/>
    <n v="0.8591065292096219"/>
    <n v="0.03092783505154639"/>
    <n v="291"/>
    <n v="41"/>
    <x v="0"/>
  </r>
  <r>
    <x v="3"/>
    <x v="1"/>
    <x v="2"/>
    <x v="1"/>
    <n v="1570"/>
    <n v="10"/>
    <n v="125"/>
    <n v="196250"/>
    <n v="5887.5"/>
    <n v="190362.5"/>
    <n v="188400"/>
    <n v="1962.5"/>
    <d v="2014-01-06T00:00:00"/>
    <n v="6"/>
    <s v=" June "/>
    <x v="0"/>
    <n v="0"/>
    <n v="0.01030927835051546"/>
    <n v="0.9896907216494846"/>
    <n v="0.03092783505154639"/>
    <n v="121.25"/>
    <n v="1.25"/>
    <x v="0"/>
  </r>
  <r>
    <x v="2"/>
    <x v="4"/>
    <x v="2"/>
    <x v="1"/>
    <n v="1369.5"/>
    <n v="10"/>
    <n v="12"/>
    <n v="16434"/>
    <n v="493.02"/>
    <n v="15940.98"/>
    <n v="4108.5"/>
    <n v="11832.48"/>
    <d v="2014-01-07T00:00:00"/>
    <n v="7"/>
    <s v=" July "/>
    <x v="0"/>
    <n v="1"/>
    <n v="0.7422680412371134"/>
    <n v="0.2577319587628866"/>
    <n v="0.03092783505154639"/>
    <n v="11.64"/>
    <n v="8.640000000000001"/>
    <x v="0"/>
  </r>
  <r>
    <x v="3"/>
    <x v="0"/>
    <x v="2"/>
    <x v="1"/>
    <n v="2009"/>
    <n v="10"/>
    <n v="125"/>
    <n v="251125"/>
    <n v="7533.75"/>
    <n v="243591.25"/>
    <n v="241080"/>
    <n v="2511.25"/>
    <d v="2014-01-10T00:00:00"/>
    <n v="10"/>
    <s v=" October "/>
    <x v="0"/>
    <n v="0"/>
    <n v="0.01030927835051546"/>
    <n v="0.9896907216494846"/>
    <n v="0.03092783505154639"/>
    <n v="121.25"/>
    <n v="1.25"/>
    <x v="0"/>
  </r>
  <r>
    <x v="1"/>
    <x v="1"/>
    <x v="2"/>
    <x v="1"/>
    <n v="1945"/>
    <n v="10"/>
    <n v="15"/>
    <n v="29175"/>
    <n v="875.25"/>
    <n v="28299.75"/>
    <n v="19450"/>
    <n v="8849.75"/>
    <d v="2013-01-10T00:00:00"/>
    <n v="10"/>
    <s v=" October "/>
    <x v="1"/>
    <n v="0"/>
    <n v="0.3127147766323024"/>
    <n v="0.6872852233676976"/>
    <n v="0.03092783505154639"/>
    <n v="14.55"/>
    <n v="4.55"/>
    <x v="0"/>
  </r>
  <r>
    <x v="3"/>
    <x v="2"/>
    <x v="2"/>
    <x v="1"/>
    <n v="1287"/>
    <n v="10"/>
    <n v="125"/>
    <n v="160875"/>
    <n v="4826.25"/>
    <n v="156048.75"/>
    <n v="154440"/>
    <n v="1608.75"/>
    <d v="2014-01-12T00:00:00"/>
    <n v="12"/>
    <s v=" December "/>
    <x v="0"/>
    <n v="0"/>
    <n v="0.01030927835051546"/>
    <n v="0.9896907216494846"/>
    <n v="0.03092783505154639"/>
    <n v="121.25"/>
    <n v="1.25"/>
    <x v="0"/>
  </r>
  <r>
    <x v="3"/>
    <x v="1"/>
    <x v="2"/>
    <x v="1"/>
    <n v="1706"/>
    <n v="10"/>
    <n v="125"/>
    <n v="213250"/>
    <n v="6397.5"/>
    <n v="206852.5"/>
    <n v="204720"/>
    <n v="2132.5"/>
    <d v="2014-01-12T00:00:00"/>
    <n v="12"/>
    <s v=" December "/>
    <x v="0"/>
    <n v="0"/>
    <n v="0.01030927835051546"/>
    <n v="0.9896907216494846"/>
    <n v="0.03092783505154639"/>
    <n v="121.25"/>
    <n v="1.25"/>
    <x v="0"/>
  </r>
  <r>
    <x v="3"/>
    <x v="0"/>
    <x v="3"/>
    <x v="1"/>
    <n v="2009"/>
    <n v="120"/>
    <n v="125"/>
    <n v="251125"/>
    <n v="7533.75"/>
    <n v="243591.25"/>
    <n v="241080"/>
    <n v="2511.25"/>
    <d v="2014-01-10T00:00:00"/>
    <n v="10"/>
    <s v=" October "/>
    <x v="0"/>
    <n v="0"/>
    <n v="0.01030927835051546"/>
    <n v="0.9896907216494846"/>
    <n v="0.03092783505154639"/>
    <n v="121.25"/>
    <n v="1.25"/>
    <x v="0"/>
  </r>
  <r>
    <x v="4"/>
    <x v="4"/>
    <x v="4"/>
    <x v="1"/>
    <n v="2844"/>
    <n v="250"/>
    <n v="300"/>
    <n v="853200"/>
    <n v="25596"/>
    <n v="827604"/>
    <n v="711000"/>
    <n v="116604"/>
    <d v="2014-01-02T00:00:00"/>
    <n v="2"/>
    <s v=" February "/>
    <x v="0"/>
    <n v="0"/>
    <n v="0.140893470790378"/>
    <n v="0.8591065292096219"/>
    <n v="0.03092783505154639"/>
    <n v="291"/>
    <n v="41"/>
    <x v="0"/>
  </r>
  <r>
    <x v="2"/>
    <x v="3"/>
    <x v="4"/>
    <x v="1"/>
    <n v="1916"/>
    <n v="250"/>
    <n v="12"/>
    <n v="22992"/>
    <n v="689.76"/>
    <n v="22302.24"/>
    <n v="5748"/>
    <n v="16554.24"/>
    <d v="2014-01-04T00:00:00"/>
    <n v="4"/>
    <s v=" April "/>
    <x v="0"/>
    <n v="0"/>
    <n v="0.7422680412371134"/>
    <n v="0.2577319587628866"/>
    <n v="0.03092783505154639"/>
    <n v="11.64"/>
    <n v="8.640000000000001"/>
    <x v="0"/>
  </r>
  <r>
    <x v="3"/>
    <x v="1"/>
    <x v="4"/>
    <x v="1"/>
    <n v="1570"/>
    <n v="250"/>
    <n v="125"/>
    <n v="196250"/>
    <n v="5887.5"/>
    <n v="190362.5"/>
    <n v="188400"/>
    <n v="1962.5"/>
    <d v="2014-01-06T00:00:00"/>
    <n v="6"/>
    <s v=" June "/>
    <x v="0"/>
    <n v="0"/>
    <n v="0.01030927835051546"/>
    <n v="0.9896907216494846"/>
    <n v="0.03092783505154639"/>
    <n v="121.25"/>
    <n v="1.25"/>
    <x v="0"/>
  </r>
  <r>
    <x v="4"/>
    <x v="0"/>
    <x v="4"/>
    <x v="1"/>
    <n v="1874"/>
    <n v="250"/>
    <n v="300"/>
    <n v="562200"/>
    <n v="16866"/>
    <n v="545334"/>
    <n v="468500"/>
    <n v="76834"/>
    <d v="2014-01-08T00:00:00"/>
    <n v="8"/>
    <s v=" August "/>
    <x v="0"/>
    <n v="0"/>
    <n v="0.140893470790378"/>
    <n v="0.8591065292096219"/>
    <n v="0.03092783505154639"/>
    <n v="291"/>
    <n v="41"/>
    <x v="0"/>
  </r>
  <r>
    <x v="0"/>
    <x v="3"/>
    <x v="4"/>
    <x v="1"/>
    <n v="1642"/>
    <n v="250"/>
    <n v="350"/>
    <n v="574700"/>
    <n v="17241"/>
    <n v="557459"/>
    <n v="426920"/>
    <n v="130539"/>
    <d v="2014-01-08T00:00:00"/>
    <n v="8"/>
    <s v=" August "/>
    <x v="0"/>
    <n v="0"/>
    <n v="0.2341678939617084"/>
    <n v="0.7658321060382917"/>
    <n v="0.03092783505154639"/>
    <n v="339.5"/>
    <n v="79.5"/>
    <x v="0"/>
  </r>
  <r>
    <x v="1"/>
    <x v="1"/>
    <x v="4"/>
    <x v="1"/>
    <n v="1945"/>
    <n v="250"/>
    <n v="15"/>
    <n v="29175"/>
    <n v="875.25"/>
    <n v="28299.75"/>
    <n v="19450"/>
    <n v="8849.75"/>
    <d v="2013-01-10T00:00:00"/>
    <n v="10"/>
    <s v=" October "/>
    <x v="1"/>
    <n v="0"/>
    <n v="0.3127147766323024"/>
    <n v="0.6872852233676976"/>
    <n v="0.03092783505154639"/>
    <n v="14.55"/>
    <n v="4.55"/>
    <x v="0"/>
  </r>
  <r>
    <x v="0"/>
    <x v="0"/>
    <x v="0"/>
    <x v="1"/>
    <n v="831"/>
    <n v="3"/>
    <n v="20"/>
    <n v="16620"/>
    <n v="498.6"/>
    <n v="16121.4"/>
    <n v="8310"/>
    <n v="7811.4"/>
    <d v="2014-01-05T00:00:00"/>
    <n v="5"/>
    <s v=" May "/>
    <x v="0"/>
    <n v="0"/>
    <n v="0.4845360824742268"/>
    <n v="0.5154639175257733"/>
    <n v="0.03092783505154639"/>
    <n v="19.4"/>
    <n v="9.4"/>
    <x v="0"/>
  </r>
  <r>
    <x v="0"/>
    <x v="3"/>
    <x v="2"/>
    <x v="1"/>
    <n v="1760"/>
    <n v="10"/>
    <n v="7"/>
    <n v="12320"/>
    <n v="369.6"/>
    <n v="11950.4"/>
    <n v="8800"/>
    <n v="3150.4"/>
    <d v="2013-01-09T00:00:00"/>
    <n v="9"/>
    <s v=" September "/>
    <x v="1"/>
    <n v="0"/>
    <n v="0.2636229749631812"/>
    <n v="0.7363770250368189"/>
    <n v="0.03092783505154639"/>
    <n v="6.79"/>
    <n v="1.79"/>
    <x v="0"/>
  </r>
  <r>
    <x v="0"/>
    <x v="0"/>
    <x v="3"/>
    <x v="1"/>
    <n v="3850.5"/>
    <n v="120"/>
    <n v="20"/>
    <n v="77010"/>
    <n v="2310.3"/>
    <n v="74699.7"/>
    <n v="38505"/>
    <n v="36194.7"/>
    <d v="2014-01-04T00:00:00"/>
    <n v="4"/>
    <s v=" April "/>
    <x v="0"/>
    <n v="1"/>
    <n v="0.4845360824742268"/>
    <n v="0.5154639175257733"/>
    <n v="0.0309278350515464"/>
    <n v="19.4"/>
    <n v="9.399999999999999"/>
    <x v="0"/>
  </r>
  <r>
    <x v="2"/>
    <x v="1"/>
    <x v="4"/>
    <x v="1"/>
    <n v="2479"/>
    <n v="250"/>
    <n v="12"/>
    <n v="29748"/>
    <n v="892.4400000000001"/>
    <n v="28855.56"/>
    <n v="7437"/>
    <n v="21418.56"/>
    <d v="2014-01-01T00:00:00"/>
    <n v="1"/>
    <s v=" January "/>
    <x v="0"/>
    <n v="0"/>
    <n v="0.7422680412371134"/>
    <n v="0.2577319587628866"/>
    <n v="0.03092783505154639"/>
    <n v="11.64"/>
    <n v="8.640000000000001"/>
    <x v="0"/>
  </r>
  <r>
    <x v="1"/>
    <x v="3"/>
    <x v="1"/>
    <x v="1"/>
    <n v="2031"/>
    <n v="5"/>
    <n v="15"/>
    <n v="30465"/>
    <n v="1218.6"/>
    <n v="29246.4"/>
    <n v="20310"/>
    <n v="8936.4"/>
    <d v="2014-01-10T00:00:00"/>
    <n v="10"/>
    <s v=" October "/>
    <x v="0"/>
    <n v="0"/>
    <n v="0.3055555555555555"/>
    <n v="0.6944444444444444"/>
    <n v="0.04166666666666666"/>
    <n v="14.4"/>
    <n v="4.399999999999999"/>
    <x v="0"/>
  </r>
  <r>
    <x v="1"/>
    <x v="3"/>
    <x v="2"/>
    <x v="1"/>
    <n v="2031"/>
    <n v="10"/>
    <n v="15"/>
    <n v="30465"/>
    <n v="1218.6"/>
    <n v="29246.4"/>
    <n v="20310"/>
    <n v="8936.4"/>
    <d v="2014-01-10T00:00:00"/>
    <n v="10"/>
    <s v=" October "/>
    <x v="0"/>
    <n v="0"/>
    <n v="0.3055555555555555"/>
    <n v="0.6944444444444444"/>
    <n v="0.04166666666666666"/>
    <n v="14.4"/>
    <n v="4.399999999999999"/>
    <x v="0"/>
  </r>
  <r>
    <x v="1"/>
    <x v="2"/>
    <x v="2"/>
    <x v="1"/>
    <n v="2261"/>
    <n v="10"/>
    <n v="15"/>
    <n v="33915"/>
    <n v="1356.6"/>
    <n v="32558.4"/>
    <n v="22610"/>
    <n v="9948.4"/>
    <d v="2013-01-12T00:00:00"/>
    <n v="12"/>
    <s v=" December "/>
    <x v="1"/>
    <n v="0"/>
    <n v="0.3055555555555555"/>
    <n v="0.6944444444444444"/>
    <n v="0.04166666666666666"/>
    <n v="14.4"/>
    <n v="4.399999999999999"/>
    <x v="0"/>
  </r>
  <r>
    <x v="0"/>
    <x v="4"/>
    <x v="3"/>
    <x v="1"/>
    <n v="736"/>
    <n v="120"/>
    <n v="20"/>
    <n v="14720"/>
    <n v="588.8"/>
    <n v="14131.2"/>
    <n v="7360"/>
    <n v="6771.2"/>
    <d v="2013-01-09T00:00:00"/>
    <n v="9"/>
    <s v=" September "/>
    <x v="1"/>
    <n v="0"/>
    <n v="0.4791666666666666"/>
    <n v="0.5208333333333333"/>
    <n v="0.04166666666666666"/>
    <n v="19.2"/>
    <n v="9.199999999999999"/>
    <x v="0"/>
  </r>
  <r>
    <x v="0"/>
    <x v="0"/>
    <x v="0"/>
    <x v="1"/>
    <n v="2851"/>
    <n v="3"/>
    <n v="7"/>
    <n v="19957"/>
    <n v="798.28"/>
    <n v="19158.72"/>
    <n v="14255"/>
    <n v="4903.72"/>
    <d v="2013-01-10T00:00:00"/>
    <n v="10"/>
    <s v=" October "/>
    <x v="1"/>
    <n v="0"/>
    <n v="0.2559523809523809"/>
    <n v="0.744047619047619"/>
    <n v="0.04166666666666666"/>
    <n v="6.720000000000001"/>
    <n v="1.72"/>
    <x v="0"/>
  </r>
  <r>
    <x v="4"/>
    <x v="1"/>
    <x v="0"/>
    <x v="1"/>
    <n v="2021"/>
    <n v="3"/>
    <n v="300"/>
    <n v="606300"/>
    <n v="24252"/>
    <n v="582048"/>
    <n v="505250"/>
    <n v="76798"/>
    <d v="2014-01-10T00:00:00"/>
    <n v="10"/>
    <s v=" October "/>
    <x v="0"/>
    <n v="0"/>
    <n v="0.1319444444444444"/>
    <n v="0.8680555555555556"/>
    <n v="0.04166666666666666"/>
    <n v="288"/>
    <n v="38"/>
    <x v="0"/>
  </r>
  <r>
    <x v="0"/>
    <x v="4"/>
    <x v="0"/>
    <x v="1"/>
    <n v="274"/>
    <n v="3"/>
    <n v="350"/>
    <n v="95900"/>
    <n v="3836"/>
    <n v="92064"/>
    <n v="71240"/>
    <n v="20824"/>
    <d v="2014-01-12T00:00:00"/>
    <n v="12"/>
    <s v=" December "/>
    <x v="0"/>
    <n v="0"/>
    <n v="0.2261904761904762"/>
    <n v="0.7738095238095238"/>
    <n v="0.04166666666666666"/>
    <n v="336"/>
    <n v="76"/>
    <x v="0"/>
  </r>
  <r>
    <x v="1"/>
    <x v="0"/>
    <x v="1"/>
    <x v="1"/>
    <n v="1967"/>
    <n v="5"/>
    <n v="15"/>
    <n v="29505"/>
    <n v="1180.2"/>
    <n v="28324.8"/>
    <n v="19670"/>
    <n v="8654.799999999999"/>
    <d v="2014-01-03T00:00:00"/>
    <n v="3"/>
    <s v=" March "/>
    <x v="0"/>
    <n v="0"/>
    <n v="0.3055555555555555"/>
    <n v="0.6944444444444444"/>
    <n v="0.04166666666666667"/>
    <n v="14.4"/>
    <n v="4.399999999999999"/>
    <x v="0"/>
  </r>
  <r>
    <x v="4"/>
    <x v="1"/>
    <x v="1"/>
    <x v="1"/>
    <n v="1859"/>
    <n v="5"/>
    <n v="300"/>
    <n v="557700"/>
    <n v="22308"/>
    <n v="535392"/>
    <n v="464750"/>
    <n v="70642"/>
    <d v="2014-01-08T00:00:00"/>
    <n v="8"/>
    <s v=" August "/>
    <x v="0"/>
    <n v="0"/>
    <n v="0.1319444444444444"/>
    <n v="0.8680555555555556"/>
    <n v="0.04166666666666666"/>
    <n v="288"/>
    <n v="38"/>
    <x v="0"/>
  </r>
  <r>
    <x v="0"/>
    <x v="0"/>
    <x v="1"/>
    <x v="1"/>
    <n v="2851"/>
    <n v="5"/>
    <n v="7"/>
    <n v="19957"/>
    <n v="798.28"/>
    <n v="19158.72"/>
    <n v="14255"/>
    <n v="4903.72"/>
    <d v="2013-01-10T00:00:00"/>
    <n v="10"/>
    <s v=" October "/>
    <x v="1"/>
    <n v="0"/>
    <n v="0.2559523809523809"/>
    <n v="0.744047619047619"/>
    <n v="0.04166666666666666"/>
    <n v="6.720000000000001"/>
    <n v="1.72"/>
    <x v="0"/>
  </r>
  <r>
    <x v="4"/>
    <x v="1"/>
    <x v="1"/>
    <x v="1"/>
    <n v="2021"/>
    <n v="5"/>
    <n v="300"/>
    <n v="606300"/>
    <n v="24252"/>
    <n v="582048"/>
    <n v="505250"/>
    <n v="76798"/>
    <d v="2014-01-10T00:00:00"/>
    <n v="10"/>
    <s v=" October "/>
    <x v="0"/>
    <n v="0"/>
    <n v="0.1319444444444444"/>
    <n v="0.8680555555555556"/>
    <n v="0.04166666666666666"/>
    <n v="288"/>
    <n v="38"/>
    <x v="0"/>
  </r>
  <r>
    <x v="0"/>
    <x v="0"/>
    <x v="2"/>
    <x v="1"/>
    <n v="4251"/>
    <n v="10"/>
    <n v="7"/>
    <n v="29757"/>
    <n v="1190.28"/>
    <n v="28566.72"/>
    <n v="21255"/>
    <n v="7311.72"/>
    <d v="2014-01-01T00:00:00"/>
    <n v="1"/>
    <s v=" January "/>
    <x v="0"/>
    <n v="0"/>
    <n v="0.2559523809523809"/>
    <n v="0.7440476190476191"/>
    <n v="0.04166666666666666"/>
    <n v="6.720000000000001"/>
    <n v="1.72"/>
    <x v="0"/>
  </r>
  <r>
    <x v="4"/>
    <x v="1"/>
    <x v="2"/>
    <x v="1"/>
    <n v="1414.5"/>
    <n v="10"/>
    <n v="300"/>
    <n v="424350"/>
    <n v="16974"/>
    <n v="407376"/>
    <n v="353625"/>
    <n v="53751"/>
    <d v="2014-01-04T00:00:00"/>
    <n v="4"/>
    <s v=" April "/>
    <x v="0"/>
    <n v="1"/>
    <n v="0.1319444444444444"/>
    <n v="0.8680555555555556"/>
    <n v="0.04166666666666666"/>
    <n v="288"/>
    <n v="38"/>
    <x v="0"/>
  </r>
  <r>
    <x v="4"/>
    <x v="4"/>
    <x v="2"/>
    <x v="1"/>
    <n v="2918"/>
    <n v="10"/>
    <n v="300"/>
    <n v="875400"/>
    <n v="35016"/>
    <n v="840384"/>
    <n v="729500"/>
    <n v="110884"/>
    <d v="2014-01-05T00:00:00"/>
    <n v="5"/>
    <s v=" May "/>
    <x v="0"/>
    <n v="0"/>
    <n v="0.1319444444444444"/>
    <n v="0.8680555555555556"/>
    <n v="0.04166666666666666"/>
    <n v="288"/>
    <n v="38"/>
    <x v="0"/>
  </r>
  <r>
    <x v="0"/>
    <x v="4"/>
    <x v="2"/>
    <x v="1"/>
    <n v="3450"/>
    <n v="10"/>
    <n v="350"/>
    <n v="1207500"/>
    <n v="48300"/>
    <n v="1159200"/>
    <n v="897000"/>
    <n v="262200"/>
    <d v="2014-01-07T00:00:00"/>
    <n v="7"/>
    <s v=" July "/>
    <x v="0"/>
    <n v="0"/>
    <n v="0.2261904761904762"/>
    <n v="0.7738095238095238"/>
    <n v="0.04166666666666666"/>
    <n v="336"/>
    <n v="76"/>
    <x v="0"/>
  </r>
  <r>
    <x v="1"/>
    <x v="0"/>
    <x v="2"/>
    <x v="1"/>
    <n v="218"/>
    <n v="10"/>
    <n v="15"/>
    <n v="3270"/>
    <n v="130.8"/>
    <n v="3139.2"/>
    <n v="2180"/>
    <n v="959.2"/>
    <d v="2014-01-09T00:00:00"/>
    <n v="9"/>
    <s v=" September "/>
    <x v="0"/>
    <n v="0"/>
    <n v="0.3055555555555556"/>
    <n v="0.6944444444444445"/>
    <n v="0.04166666666666667"/>
    <n v="14.4"/>
    <n v="4.4"/>
    <x v="0"/>
  </r>
  <r>
    <x v="0"/>
    <x v="0"/>
    <x v="2"/>
    <x v="1"/>
    <n v="2074"/>
    <n v="10"/>
    <n v="20"/>
    <n v="41480"/>
    <n v="1659.2"/>
    <n v="39820.8"/>
    <n v="20740"/>
    <n v="19080.8"/>
    <d v="2014-01-09T00:00:00"/>
    <n v="9"/>
    <s v=" September "/>
    <x v="0"/>
    <n v="0"/>
    <n v="0.4791666666666666"/>
    <n v="0.5208333333333333"/>
    <n v="0.04166666666666666"/>
    <n v="19.2"/>
    <n v="9.199999999999999"/>
    <x v="0"/>
  </r>
  <r>
    <x v="0"/>
    <x v="4"/>
    <x v="2"/>
    <x v="1"/>
    <n v="1056"/>
    <n v="10"/>
    <n v="20"/>
    <n v="21120"/>
    <n v="844.8"/>
    <n v="20275.2"/>
    <n v="10560"/>
    <n v="9715.200000000001"/>
    <d v="2014-01-09T00:00:00"/>
    <n v="9"/>
    <s v=" September "/>
    <x v="0"/>
    <n v="0"/>
    <n v="0.4791666666666667"/>
    <n v="0.5208333333333333"/>
    <n v="0.04166666666666666"/>
    <n v="19.2"/>
    <n v="9.200000000000001"/>
    <x v="0"/>
  </r>
  <r>
    <x v="1"/>
    <x v="4"/>
    <x v="2"/>
    <x v="1"/>
    <n v="671"/>
    <n v="10"/>
    <n v="15"/>
    <n v="10065"/>
    <n v="402.6"/>
    <n v="9662.4"/>
    <n v="6710"/>
    <n v="2952.4"/>
    <d v="2013-01-10T00:00:00"/>
    <n v="10"/>
    <s v=" October "/>
    <x v="1"/>
    <n v="0"/>
    <n v="0.3055555555555556"/>
    <n v="0.6944444444444444"/>
    <n v="0.04166666666666667"/>
    <n v="14.4"/>
    <n v="4.4"/>
    <x v="0"/>
  </r>
  <r>
    <x v="1"/>
    <x v="3"/>
    <x v="2"/>
    <x v="1"/>
    <n v="1514"/>
    <n v="10"/>
    <n v="15"/>
    <n v="22710"/>
    <n v="908.4"/>
    <n v="21801.6"/>
    <n v="15140"/>
    <n v="6661.6"/>
    <d v="2013-01-10T00:00:00"/>
    <n v="10"/>
    <s v=" October "/>
    <x v="1"/>
    <n v="0"/>
    <n v="0.3055555555555556"/>
    <n v="0.6944444444444445"/>
    <n v="0.04166666666666667"/>
    <n v="14.4"/>
    <n v="4.4"/>
    <x v="0"/>
  </r>
  <r>
    <x v="0"/>
    <x v="4"/>
    <x v="2"/>
    <x v="1"/>
    <n v="274"/>
    <n v="10"/>
    <n v="350"/>
    <n v="95900"/>
    <n v="3836"/>
    <n v="92064"/>
    <n v="71240"/>
    <n v="20824"/>
    <d v="2014-01-12T00:00:00"/>
    <n v="12"/>
    <s v=" December "/>
    <x v="0"/>
    <n v="0"/>
    <n v="0.2261904761904762"/>
    <n v="0.7738095238095238"/>
    <n v="0.04166666666666666"/>
    <n v="336"/>
    <n v="76"/>
    <x v="0"/>
  </r>
  <r>
    <x v="2"/>
    <x v="4"/>
    <x v="3"/>
    <x v="1"/>
    <n v="1465"/>
    <n v="120"/>
    <n v="12"/>
    <n v="17580"/>
    <n v="703.2"/>
    <n v="16876.8"/>
    <n v="4395"/>
    <n v="12481.8"/>
    <d v="2014-01-03T00:00:00"/>
    <n v="3"/>
    <s v=" March "/>
    <x v="0"/>
    <n v="0"/>
    <n v="0.7395833333333334"/>
    <n v="0.2604166666666667"/>
    <n v="0.04166666666666667"/>
    <n v="11.52"/>
    <n v="8.52"/>
    <x v="0"/>
  </r>
  <r>
    <x v="0"/>
    <x v="0"/>
    <x v="3"/>
    <x v="1"/>
    <n v="2646"/>
    <n v="120"/>
    <n v="20"/>
    <n v="52920"/>
    <n v="2116.8"/>
    <n v="50803.2"/>
    <n v="26460"/>
    <n v="24343.2"/>
    <d v="2013-01-09T00:00:00"/>
    <n v="9"/>
    <s v=" September "/>
    <x v="1"/>
    <n v="0"/>
    <n v="0.4791666666666667"/>
    <n v="0.5208333333333334"/>
    <n v="0.04166666666666667"/>
    <n v="19.2"/>
    <n v="9.200000000000001"/>
    <x v="0"/>
  </r>
  <r>
    <x v="0"/>
    <x v="2"/>
    <x v="3"/>
    <x v="1"/>
    <n v="2177"/>
    <n v="120"/>
    <n v="350"/>
    <n v="761950"/>
    <n v="30478"/>
    <n v="731472"/>
    <n v="566020"/>
    <n v="165452"/>
    <d v="2014-01-10T00:00:00"/>
    <n v="10"/>
    <s v=" October "/>
    <x v="0"/>
    <n v="0"/>
    <n v="0.2261904761904762"/>
    <n v="0.7738095238095238"/>
    <n v="0.04166666666666666"/>
    <n v="336"/>
    <n v="76"/>
    <x v="0"/>
  </r>
  <r>
    <x v="2"/>
    <x v="2"/>
    <x v="4"/>
    <x v="1"/>
    <n v="866"/>
    <n v="250"/>
    <n v="12"/>
    <n v="10392"/>
    <n v="415.68"/>
    <n v="9976.32"/>
    <n v="2598"/>
    <n v="7378.32"/>
    <d v="2014-01-05T00:00:00"/>
    <n v="5"/>
    <s v=" May "/>
    <x v="0"/>
    <n v="0"/>
    <n v="0.7395833333333334"/>
    <n v="0.2604166666666667"/>
    <n v="0.04166666666666667"/>
    <n v="11.52"/>
    <n v="8.52"/>
    <x v="0"/>
  </r>
  <r>
    <x v="0"/>
    <x v="4"/>
    <x v="4"/>
    <x v="1"/>
    <n v="349"/>
    <n v="250"/>
    <n v="350"/>
    <n v="122150"/>
    <n v="4886"/>
    <n v="117264"/>
    <n v="90740"/>
    <n v="26524"/>
    <d v="2013-01-09T00:00:00"/>
    <n v="9"/>
    <s v=" September "/>
    <x v="1"/>
    <n v="0"/>
    <n v="0.2261904761904762"/>
    <n v="0.7738095238095238"/>
    <n v="0.04166666666666666"/>
    <n v="336"/>
    <n v="76"/>
    <x v="0"/>
  </r>
  <r>
    <x v="0"/>
    <x v="2"/>
    <x v="4"/>
    <x v="1"/>
    <n v="2177"/>
    <n v="250"/>
    <n v="350"/>
    <n v="761950"/>
    <n v="30478"/>
    <n v="731472"/>
    <n v="566020"/>
    <n v="165452"/>
    <d v="2014-01-10T00:00:00"/>
    <n v="10"/>
    <s v=" October "/>
    <x v="0"/>
    <n v="0"/>
    <n v="0.2261904761904762"/>
    <n v="0.7738095238095238"/>
    <n v="0.04166666666666666"/>
    <n v="336"/>
    <n v="76"/>
    <x v="0"/>
  </r>
  <r>
    <x v="1"/>
    <x v="3"/>
    <x v="4"/>
    <x v="1"/>
    <n v="1514"/>
    <n v="250"/>
    <n v="15"/>
    <n v="22710"/>
    <n v="908.4"/>
    <n v="21801.6"/>
    <n v="15140"/>
    <n v="6661.6"/>
    <d v="2013-01-10T00:00:00"/>
    <n v="10"/>
    <s v=" October "/>
    <x v="1"/>
    <n v="0"/>
    <n v="0.3055555555555556"/>
    <n v="0.6944444444444445"/>
    <n v="0.04166666666666667"/>
    <n v="14.4"/>
    <n v="4.4"/>
    <x v="0"/>
  </r>
  <r>
    <x v="0"/>
    <x v="3"/>
    <x v="5"/>
    <x v="1"/>
    <n v="1865"/>
    <n v="260"/>
    <n v="350"/>
    <n v="652750"/>
    <n v="26110"/>
    <n v="626640"/>
    <n v="484900"/>
    <n v="141740"/>
    <d v="2014-01-02T00:00:00"/>
    <n v="2"/>
    <s v=" February "/>
    <x v="0"/>
    <n v="0"/>
    <n v="0.2261904761904762"/>
    <n v="0.7738095238095238"/>
    <n v="0.04166666666666666"/>
    <n v="336"/>
    <n v="76"/>
    <x v="0"/>
  </r>
  <r>
    <x v="0"/>
    <x v="1"/>
    <x v="5"/>
    <x v="1"/>
    <n v="1907"/>
    <n v="260"/>
    <n v="350"/>
    <n v="667450"/>
    <n v="26698"/>
    <n v="640752"/>
    <n v="495820"/>
    <n v="144932"/>
    <d v="2014-01-09T00:00:00"/>
    <n v="9"/>
    <s v=" September "/>
    <x v="0"/>
    <n v="0"/>
    <n v="0.2261904761904762"/>
    <n v="0.7738095238095238"/>
    <n v="0.04166666666666666"/>
    <n v="336"/>
    <n v="76"/>
    <x v="0"/>
  </r>
  <r>
    <x v="1"/>
    <x v="4"/>
    <x v="5"/>
    <x v="1"/>
    <n v="671"/>
    <n v="260"/>
    <n v="15"/>
    <n v="10065"/>
    <n v="402.6"/>
    <n v="9662.4"/>
    <n v="6710"/>
    <n v="2952.4"/>
    <d v="2013-01-10T00:00:00"/>
    <n v="10"/>
    <s v=" October "/>
    <x v="1"/>
    <n v="0"/>
    <n v="0.3055555555555556"/>
    <n v="0.6944444444444444"/>
    <n v="0.04166666666666667"/>
    <n v="14.4"/>
    <n v="4.4"/>
    <x v="0"/>
  </r>
  <r>
    <x v="0"/>
    <x v="0"/>
    <x v="5"/>
    <x v="1"/>
    <n v="1778"/>
    <n v="260"/>
    <n v="350"/>
    <n v="622300"/>
    <n v="24892"/>
    <n v="597408"/>
    <n v="462280"/>
    <n v="135128"/>
    <d v="2013-01-12T00:00:00"/>
    <n v="12"/>
    <s v=" December "/>
    <x v="1"/>
    <n v="0"/>
    <n v="0.2261904761904762"/>
    <n v="0.7738095238095238"/>
    <n v="0.04166666666666666"/>
    <n v="336"/>
    <n v="76"/>
    <x v="0"/>
  </r>
  <r>
    <x v="0"/>
    <x v="1"/>
    <x v="1"/>
    <x v="2"/>
    <n v="1159"/>
    <n v="5"/>
    <n v="7"/>
    <n v="8113"/>
    <n v="405.65"/>
    <n v="7707.35"/>
    <n v="5795"/>
    <n v="1912.35"/>
    <d v="2013-01-10T00:00:00"/>
    <n v="10"/>
    <s v=" October "/>
    <x v="1"/>
    <n v="0"/>
    <n v="0.2481203007518797"/>
    <n v="0.7518796992481203"/>
    <n v="0.05263157894736842"/>
    <n v="6.65"/>
    <n v="1.65"/>
    <x v="0"/>
  </r>
  <r>
    <x v="0"/>
    <x v="1"/>
    <x v="2"/>
    <x v="2"/>
    <n v="1372"/>
    <n v="10"/>
    <n v="7"/>
    <n v="9604"/>
    <n v="480.2"/>
    <n v="9123.799999999999"/>
    <n v="6860"/>
    <n v="2263.8"/>
    <d v="2014-01-01T00:00:00"/>
    <n v="1"/>
    <s v=" January "/>
    <x v="0"/>
    <n v="0"/>
    <n v="0.2481203007518797"/>
    <n v="0.7518796992481204"/>
    <n v="0.05263157894736843"/>
    <n v="6.649999999999999"/>
    <n v="1.65"/>
    <x v="0"/>
  </r>
  <r>
    <x v="0"/>
    <x v="0"/>
    <x v="2"/>
    <x v="2"/>
    <n v="2349"/>
    <n v="10"/>
    <n v="7"/>
    <n v="16443"/>
    <n v="822.15"/>
    <n v="15620.85"/>
    <n v="11745"/>
    <n v="3875.85"/>
    <d v="2013-01-09T00:00:00"/>
    <n v="9"/>
    <s v=" September "/>
    <x v="1"/>
    <n v="0"/>
    <n v="0.2481203007518797"/>
    <n v="0.7518796992481203"/>
    <n v="0.05263157894736842"/>
    <n v="6.65"/>
    <n v="1.65"/>
    <x v="0"/>
  </r>
  <r>
    <x v="0"/>
    <x v="3"/>
    <x v="2"/>
    <x v="2"/>
    <n v="2689"/>
    <n v="10"/>
    <n v="7"/>
    <n v="18823"/>
    <n v="941.15"/>
    <n v="17881.85"/>
    <n v="13445"/>
    <n v="4436.85"/>
    <d v="2014-01-10T00:00:00"/>
    <n v="10"/>
    <s v=" October "/>
    <x v="0"/>
    <n v="0"/>
    <n v="0.2481203007518797"/>
    <n v="0.7518796992481204"/>
    <n v="0.05263157894736843"/>
    <n v="6.649999999999999"/>
    <n v="1.65"/>
    <x v="0"/>
  </r>
  <r>
    <x v="2"/>
    <x v="0"/>
    <x v="2"/>
    <x v="2"/>
    <n v="2431"/>
    <n v="10"/>
    <n v="12"/>
    <n v="29172"/>
    <n v="1458.6"/>
    <n v="27713.4"/>
    <n v="7293"/>
    <n v="20420.4"/>
    <d v="2014-01-12T00:00:00"/>
    <n v="12"/>
    <s v=" December "/>
    <x v="0"/>
    <n v="0"/>
    <n v="0.7368421052631579"/>
    <n v="0.2631578947368421"/>
    <n v="0.05263157894736842"/>
    <n v="11.4"/>
    <n v="8.4"/>
    <x v="0"/>
  </r>
  <r>
    <x v="2"/>
    <x v="0"/>
    <x v="3"/>
    <x v="2"/>
    <n v="2431"/>
    <n v="120"/>
    <n v="12"/>
    <n v="29172"/>
    <n v="1458.6"/>
    <n v="27713.4"/>
    <n v="7293"/>
    <n v="20420.4"/>
    <d v="2014-01-12T00:00:00"/>
    <n v="12"/>
    <s v=" December "/>
    <x v="0"/>
    <n v="0"/>
    <n v="0.7368421052631579"/>
    <n v="0.2631578947368421"/>
    <n v="0.05263157894736842"/>
    <n v="11.4"/>
    <n v="8.4"/>
    <x v="0"/>
  </r>
  <r>
    <x v="0"/>
    <x v="3"/>
    <x v="4"/>
    <x v="2"/>
    <n v="2689"/>
    <n v="250"/>
    <n v="7"/>
    <n v="18823"/>
    <n v="941.15"/>
    <n v="17881.85"/>
    <n v="13445"/>
    <n v="4436.85"/>
    <d v="2014-01-10T00:00:00"/>
    <n v="10"/>
    <s v=" October "/>
    <x v="0"/>
    <n v="0"/>
    <n v="0.2481203007518797"/>
    <n v="0.7518796992481204"/>
    <n v="0.05263157894736843"/>
    <n v="6.649999999999999"/>
    <n v="1.65"/>
    <x v="0"/>
  </r>
  <r>
    <x v="0"/>
    <x v="3"/>
    <x v="5"/>
    <x v="2"/>
    <n v="1683"/>
    <n v="260"/>
    <n v="7"/>
    <n v="11781"/>
    <n v="589.05"/>
    <n v="11191.95"/>
    <n v="8415"/>
    <n v="2776.95"/>
    <d v="2014-01-07T00:00:00"/>
    <n v="7"/>
    <s v=" July "/>
    <x v="0"/>
    <n v="0"/>
    <n v="0.2481203007518797"/>
    <n v="0.7518796992481203"/>
    <n v="0.05263157894736841"/>
    <n v="6.65"/>
    <n v="1.65"/>
    <x v="0"/>
  </r>
  <r>
    <x v="2"/>
    <x v="3"/>
    <x v="5"/>
    <x v="2"/>
    <n v="1123"/>
    <n v="260"/>
    <n v="12"/>
    <n v="13476"/>
    <n v="673.8"/>
    <n v="12802.2"/>
    <n v="3369"/>
    <n v="9433.200000000001"/>
    <d v="2014-01-08T00:00:00"/>
    <n v="8"/>
    <s v=" August "/>
    <x v="0"/>
    <n v="0"/>
    <n v="0.736842105263158"/>
    <n v="0.2631578947368421"/>
    <n v="0.05263157894736841"/>
    <n v="11.4"/>
    <n v="8.4"/>
    <x v="0"/>
  </r>
  <r>
    <x v="0"/>
    <x v="1"/>
    <x v="5"/>
    <x v="2"/>
    <n v="1159"/>
    <n v="260"/>
    <n v="7"/>
    <n v="8113"/>
    <n v="405.65"/>
    <n v="7707.35"/>
    <n v="5795"/>
    <n v="1912.35"/>
    <d v="2013-01-10T00:00:00"/>
    <n v="10"/>
    <s v=" October "/>
    <x v="1"/>
    <n v="0"/>
    <n v="0.2481203007518797"/>
    <n v="0.7518796992481203"/>
    <n v="0.05263157894736842"/>
    <n v="6.65"/>
    <n v="1.65"/>
    <x v="0"/>
  </r>
  <r>
    <x v="2"/>
    <x v="2"/>
    <x v="0"/>
    <x v="2"/>
    <n v="1865"/>
    <n v="3"/>
    <n v="12"/>
    <n v="22380"/>
    <n v="1119"/>
    <n v="21261"/>
    <n v="5595"/>
    <n v="15666"/>
    <d v="2014-01-02T00:00:00"/>
    <n v="2"/>
    <s v=" February "/>
    <x v="0"/>
    <n v="0"/>
    <n v="0.7368421052631579"/>
    <n v="0.2631578947368421"/>
    <n v="0.05263157894736842"/>
    <n v="11.4"/>
    <n v="8.4"/>
    <x v="0"/>
  </r>
  <r>
    <x v="2"/>
    <x v="1"/>
    <x v="0"/>
    <x v="2"/>
    <n v="1116"/>
    <n v="3"/>
    <n v="12"/>
    <n v="13392"/>
    <n v="669.6"/>
    <n v="12722.4"/>
    <n v="3348"/>
    <n v="9374.4"/>
    <d v="2014-01-02T00:00:00"/>
    <n v="2"/>
    <s v=" February "/>
    <x v="0"/>
    <n v="0"/>
    <n v="0.7368421052631579"/>
    <n v="0.2631578947368421"/>
    <n v="0.05263157894736843"/>
    <n v="11.4"/>
    <n v="8.4"/>
    <x v="0"/>
  </r>
  <r>
    <x v="0"/>
    <x v="2"/>
    <x v="0"/>
    <x v="2"/>
    <n v="1563"/>
    <n v="3"/>
    <n v="20"/>
    <n v="31260"/>
    <n v="1563"/>
    <n v="29697"/>
    <n v="15630"/>
    <n v="14067"/>
    <d v="2014-01-05T00:00:00"/>
    <n v="5"/>
    <s v=" May "/>
    <x v="0"/>
    <n v="0"/>
    <n v="0.4736842105263158"/>
    <n v="0.5263157894736842"/>
    <n v="0.05263157894736842"/>
    <n v="19"/>
    <n v="9"/>
    <x v="0"/>
  </r>
  <r>
    <x v="4"/>
    <x v="4"/>
    <x v="0"/>
    <x v="2"/>
    <n v="991"/>
    <n v="3"/>
    <n v="300"/>
    <n v="297300"/>
    <n v="14865"/>
    <n v="282435"/>
    <n v="247750"/>
    <n v="34685"/>
    <d v="2014-01-06T00:00:00"/>
    <n v="6"/>
    <s v=" June "/>
    <x v="0"/>
    <n v="0"/>
    <n v="0.1228070175438596"/>
    <n v="0.8771929824561403"/>
    <n v="0.05263157894736842"/>
    <n v="285"/>
    <n v="35"/>
    <x v="0"/>
  </r>
  <r>
    <x v="0"/>
    <x v="1"/>
    <x v="0"/>
    <x v="2"/>
    <n v="1016"/>
    <n v="3"/>
    <n v="7"/>
    <n v="7112"/>
    <n v="355.6"/>
    <n v="6756.4"/>
    <n v="5080"/>
    <n v="1676.4"/>
    <d v="2013-01-11T00:00:00"/>
    <n v="11"/>
    <s v=" November "/>
    <x v="1"/>
    <n v="0"/>
    <n v="0.2481203007518797"/>
    <n v="0.7518796992481204"/>
    <n v="0.05263157894736843"/>
    <n v="6.649999999999999"/>
    <n v="1.65"/>
    <x v="0"/>
  </r>
  <r>
    <x v="1"/>
    <x v="3"/>
    <x v="0"/>
    <x v="2"/>
    <n v="2791"/>
    <n v="3"/>
    <n v="15"/>
    <n v="41865"/>
    <n v="2093.25"/>
    <n v="39771.75"/>
    <n v="27910"/>
    <n v="11861.75"/>
    <d v="2014-01-11T00:00:00"/>
    <n v="11"/>
    <s v=" November "/>
    <x v="0"/>
    <n v="0"/>
    <n v="0.2982456140350877"/>
    <n v="0.7017543859649122"/>
    <n v="0.05263157894736842"/>
    <n v="14.25"/>
    <n v="4.25"/>
    <x v="0"/>
  </r>
  <r>
    <x v="0"/>
    <x v="4"/>
    <x v="0"/>
    <x v="2"/>
    <n v="570"/>
    <n v="3"/>
    <n v="7"/>
    <n v="3990"/>
    <n v="199.5"/>
    <n v="3790.5"/>
    <n v="2850"/>
    <n v="940.5"/>
    <d v="2014-01-12T00:00:00"/>
    <n v="12"/>
    <s v=" December "/>
    <x v="0"/>
    <n v="0"/>
    <n v="0.2481203007518797"/>
    <n v="0.7518796992481203"/>
    <n v="0.05263157894736842"/>
    <n v="6.65"/>
    <n v="1.65"/>
    <x v="0"/>
  </r>
  <r>
    <x v="0"/>
    <x v="2"/>
    <x v="0"/>
    <x v="2"/>
    <n v="2487"/>
    <n v="3"/>
    <n v="7"/>
    <n v="17409"/>
    <n v="870.45"/>
    <n v="16538.55"/>
    <n v="12435"/>
    <n v="4103.55"/>
    <d v="2014-01-12T00:00:00"/>
    <n v="12"/>
    <s v=" December "/>
    <x v="0"/>
    <n v="0"/>
    <n v="0.2481203007518797"/>
    <n v="0.7518796992481204"/>
    <n v="0.05263157894736843"/>
    <n v="6.649999999999999"/>
    <n v="1.65"/>
    <x v="0"/>
  </r>
  <r>
    <x v="0"/>
    <x v="2"/>
    <x v="1"/>
    <x v="2"/>
    <n v="1384.5"/>
    <n v="5"/>
    <n v="350"/>
    <n v="484575"/>
    <n v="24228.75"/>
    <n v="460346.25"/>
    <n v="359970"/>
    <n v="100376.25"/>
    <d v="2014-01-01T00:00:00"/>
    <n v="1"/>
    <s v=" January "/>
    <x v="0"/>
    <n v="1"/>
    <n v="0.2180451127819549"/>
    <n v="0.7819548872180451"/>
    <n v="0.05263157894736842"/>
    <n v="332.5"/>
    <n v="72.5"/>
    <x v="0"/>
  </r>
  <r>
    <x v="3"/>
    <x v="4"/>
    <x v="1"/>
    <x v="2"/>
    <n v="3627"/>
    <n v="5"/>
    <n v="125"/>
    <n v="453375"/>
    <n v="22668.75"/>
    <n v="430706.25"/>
    <n v="435240"/>
    <n v="-4533.75"/>
    <d v="2014-01-07T00:00:00"/>
    <n v="7"/>
    <s v=" July "/>
    <x v="0"/>
    <n v="0"/>
    <n v="-0.01052631578947368"/>
    <n v="1.010526315789474"/>
    <n v="0.05263157894736842"/>
    <n v="118.75"/>
    <n v="-1.25"/>
    <x v="1"/>
  </r>
  <r>
    <x v="0"/>
    <x v="3"/>
    <x v="1"/>
    <x v="2"/>
    <n v="720"/>
    <n v="5"/>
    <n v="350"/>
    <n v="252000"/>
    <n v="12600"/>
    <n v="239400"/>
    <n v="187200"/>
    <n v="52200"/>
    <d v="2013-01-09T00:00:00"/>
    <n v="9"/>
    <s v=" September "/>
    <x v="1"/>
    <n v="0"/>
    <n v="0.2180451127819549"/>
    <n v="0.7819548872180451"/>
    <n v="0.05263157894736842"/>
    <n v="332.5"/>
    <n v="72.5"/>
    <x v="0"/>
  </r>
  <r>
    <x v="2"/>
    <x v="1"/>
    <x v="1"/>
    <x v="2"/>
    <n v="2342"/>
    <n v="5"/>
    <n v="12"/>
    <n v="28104"/>
    <n v="1405.2"/>
    <n v="26698.8"/>
    <n v="7026"/>
    <n v="19672.8"/>
    <d v="2014-01-11T00:00:00"/>
    <n v="11"/>
    <s v=" November "/>
    <x v="0"/>
    <n v="0"/>
    <n v="0.7368421052631579"/>
    <n v="0.2631578947368421"/>
    <n v="0.05263157894736843"/>
    <n v="11.4"/>
    <n v="8.4"/>
    <x v="0"/>
  </r>
  <r>
    <x v="4"/>
    <x v="3"/>
    <x v="1"/>
    <x v="2"/>
    <n v="1100"/>
    <n v="5"/>
    <n v="300"/>
    <n v="330000"/>
    <n v="16500"/>
    <n v="313500"/>
    <n v="275000"/>
    <n v="38500"/>
    <d v="2013-01-12T00:00:00"/>
    <n v="12"/>
    <s v=" December "/>
    <x v="1"/>
    <n v="0"/>
    <n v="0.1228070175438596"/>
    <n v="0.8771929824561403"/>
    <n v="0.05263157894736842"/>
    <n v="285"/>
    <n v="35"/>
    <x v="0"/>
  </r>
  <r>
    <x v="0"/>
    <x v="2"/>
    <x v="2"/>
    <x v="2"/>
    <n v="1303"/>
    <n v="10"/>
    <n v="20"/>
    <n v="26060"/>
    <n v="1303"/>
    <n v="24757"/>
    <n v="13030"/>
    <n v="11727"/>
    <d v="2014-01-02T00:00:00"/>
    <n v="2"/>
    <s v=" February "/>
    <x v="0"/>
    <n v="0"/>
    <n v="0.4736842105263158"/>
    <n v="0.5263157894736842"/>
    <n v="0.05263157894736842"/>
    <n v="19"/>
    <n v="9"/>
    <x v="0"/>
  </r>
  <r>
    <x v="3"/>
    <x v="4"/>
    <x v="2"/>
    <x v="2"/>
    <n v="2992"/>
    <n v="10"/>
    <n v="125"/>
    <n v="374000"/>
    <n v="18700"/>
    <n v="355300"/>
    <n v="359040"/>
    <n v="-3740"/>
    <d v="2014-01-03T00:00:00"/>
    <n v="3"/>
    <s v=" March "/>
    <x v="0"/>
    <n v="0"/>
    <n v="-0.01052631578947368"/>
    <n v="1.010526315789474"/>
    <n v="0.05263157894736842"/>
    <n v="118.75"/>
    <n v="-1.25"/>
    <x v="1"/>
  </r>
  <r>
    <x v="3"/>
    <x v="2"/>
    <x v="2"/>
    <x v="2"/>
    <n v="2385"/>
    <n v="10"/>
    <n v="125"/>
    <n v="298125"/>
    <n v="14906.25"/>
    <n v="283218.75"/>
    <n v="286200"/>
    <n v="-2981.25"/>
    <d v="2014-01-03T00:00:00"/>
    <n v="3"/>
    <s v=" March "/>
    <x v="0"/>
    <n v="0"/>
    <n v="-0.01052631578947368"/>
    <n v="1.010526315789474"/>
    <n v="0.05263157894736842"/>
    <n v="118.75"/>
    <n v="-1.25"/>
    <x v="1"/>
  </r>
  <r>
    <x v="4"/>
    <x v="3"/>
    <x v="2"/>
    <x v="2"/>
    <n v="1607"/>
    <n v="10"/>
    <n v="300"/>
    <n v="482100"/>
    <n v="24105"/>
    <n v="457995"/>
    <n v="401750"/>
    <n v="56245"/>
    <d v="2014-01-04T00:00:00"/>
    <n v="4"/>
    <s v=" April "/>
    <x v="0"/>
    <n v="0"/>
    <n v="0.1228070175438596"/>
    <n v="0.8771929824561403"/>
    <n v="0.05263157894736842"/>
    <n v="285"/>
    <n v="35"/>
    <x v="0"/>
  </r>
  <r>
    <x v="0"/>
    <x v="4"/>
    <x v="2"/>
    <x v="2"/>
    <n v="2327"/>
    <n v="10"/>
    <n v="7"/>
    <n v="16289"/>
    <n v="814.45"/>
    <n v="15474.55"/>
    <n v="11635"/>
    <n v="3839.55"/>
    <d v="2014-01-05T00:00:00"/>
    <n v="5"/>
    <s v=" May "/>
    <x v="0"/>
    <n v="0"/>
    <n v="0.2481203007518797"/>
    <n v="0.7518796992481204"/>
    <n v="0.05263157894736843"/>
    <n v="6.649999999999999"/>
    <n v="1.65"/>
    <x v="0"/>
  </r>
  <r>
    <x v="4"/>
    <x v="4"/>
    <x v="2"/>
    <x v="2"/>
    <n v="991"/>
    <n v="10"/>
    <n v="300"/>
    <n v="297300"/>
    <n v="14865"/>
    <n v="282435"/>
    <n v="247750"/>
    <n v="34685"/>
    <d v="2014-01-06T00:00:00"/>
    <n v="6"/>
    <s v=" June "/>
    <x v="0"/>
    <n v="0"/>
    <n v="0.1228070175438596"/>
    <n v="0.8771929824561403"/>
    <n v="0.05263157894736842"/>
    <n v="285"/>
    <n v="35"/>
    <x v="0"/>
  </r>
  <r>
    <x v="0"/>
    <x v="4"/>
    <x v="2"/>
    <x v="2"/>
    <n v="602"/>
    <n v="10"/>
    <n v="350"/>
    <n v="210700"/>
    <n v="10535"/>
    <n v="200165"/>
    <n v="156520"/>
    <n v="43645"/>
    <d v="2014-01-06T00:00:00"/>
    <n v="6"/>
    <s v=" June "/>
    <x v="0"/>
    <n v="0"/>
    <n v="0.2180451127819549"/>
    <n v="0.7819548872180451"/>
    <n v="0.05263157894736842"/>
    <n v="332.5"/>
    <n v="72.5"/>
    <x v="0"/>
  </r>
  <r>
    <x v="1"/>
    <x v="2"/>
    <x v="2"/>
    <x v="2"/>
    <n v="2620"/>
    <n v="10"/>
    <n v="15"/>
    <n v="39300"/>
    <n v="1965"/>
    <n v="37335"/>
    <n v="26200"/>
    <n v="11135"/>
    <d v="2014-01-09T00:00:00"/>
    <n v="9"/>
    <s v=" September "/>
    <x v="0"/>
    <n v="0"/>
    <n v="0.2982456140350877"/>
    <n v="0.7017543859649122"/>
    <n v="0.05263157894736842"/>
    <n v="14.25"/>
    <n v="4.25"/>
    <x v="0"/>
  </r>
  <r>
    <x v="0"/>
    <x v="0"/>
    <x v="2"/>
    <x v="2"/>
    <n v="1228"/>
    <n v="10"/>
    <n v="350"/>
    <n v="429800"/>
    <n v="21490"/>
    <n v="408310"/>
    <n v="319280"/>
    <n v="89030"/>
    <d v="2013-01-10T00:00:00"/>
    <n v="10"/>
    <s v=" October "/>
    <x v="1"/>
    <n v="0"/>
    <n v="0.2180451127819549"/>
    <n v="0.7819548872180451"/>
    <n v="0.05263157894736842"/>
    <n v="332.5"/>
    <n v="72.5"/>
    <x v="0"/>
  </r>
  <r>
    <x v="0"/>
    <x v="0"/>
    <x v="2"/>
    <x v="2"/>
    <n v="1389"/>
    <n v="10"/>
    <n v="20"/>
    <n v="27780"/>
    <n v="1389"/>
    <n v="26391"/>
    <n v="13890"/>
    <n v="12501"/>
    <d v="2013-01-10T00:00:00"/>
    <n v="10"/>
    <s v=" October "/>
    <x v="1"/>
    <n v="0"/>
    <n v="0.4736842105263158"/>
    <n v="0.5263157894736842"/>
    <n v="0.05263157894736842"/>
    <n v="19"/>
    <n v="9"/>
    <x v="0"/>
  </r>
  <r>
    <x v="3"/>
    <x v="4"/>
    <x v="2"/>
    <x v="2"/>
    <n v="861"/>
    <n v="10"/>
    <n v="125"/>
    <n v="107625"/>
    <n v="5381.25"/>
    <n v="102243.75"/>
    <n v="103320"/>
    <n v="-1076.25"/>
    <d v="2014-01-10T00:00:00"/>
    <n v="10"/>
    <s v=" October "/>
    <x v="0"/>
    <n v="0"/>
    <n v="-0.01052631578947368"/>
    <n v="1.010526315789474"/>
    <n v="0.05263157894736842"/>
    <n v="118.75"/>
    <n v="-1.25"/>
    <x v="1"/>
  </r>
  <r>
    <x v="3"/>
    <x v="2"/>
    <x v="2"/>
    <x v="2"/>
    <n v="704"/>
    <n v="10"/>
    <n v="125"/>
    <n v="88000"/>
    <n v="4400"/>
    <n v="83600"/>
    <n v="84480"/>
    <n v="-880"/>
    <d v="2013-01-10T00:00:00"/>
    <n v="10"/>
    <s v=" October "/>
    <x v="1"/>
    <n v="0"/>
    <n v="-0.01052631578947368"/>
    <n v="1.010526315789474"/>
    <n v="0.05263157894736842"/>
    <n v="118.75"/>
    <n v="-1.25"/>
    <x v="1"/>
  </r>
  <r>
    <x v="0"/>
    <x v="0"/>
    <x v="2"/>
    <x v="2"/>
    <n v="1802"/>
    <n v="10"/>
    <n v="20"/>
    <n v="36040"/>
    <n v="1802"/>
    <n v="34238"/>
    <n v="18020"/>
    <n v="16218"/>
    <d v="2013-01-12T00:00:00"/>
    <n v="12"/>
    <s v=" December "/>
    <x v="1"/>
    <n v="0"/>
    <n v="0.4736842105263158"/>
    <n v="0.5263157894736842"/>
    <n v="0.05263157894736842"/>
    <n v="19"/>
    <n v="9"/>
    <x v="0"/>
  </r>
  <r>
    <x v="0"/>
    <x v="4"/>
    <x v="2"/>
    <x v="2"/>
    <n v="2663"/>
    <n v="10"/>
    <n v="20"/>
    <n v="53260"/>
    <n v="2663"/>
    <n v="50597"/>
    <n v="26630"/>
    <n v="23967"/>
    <d v="2014-01-12T00:00:00"/>
    <n v="12"/>
    <s v=" December "/>
    <x v="0"/>
    <n v="0"/>
    <n v="0.4736842105263158"/>
    <n v="0.5263157894736842"/>
    <n v="0.05263157894736842"/>
    <n v="19"/>
    <n v="9"/>
    <x v="0"/>
  </r>
  <r>
    <x v="0"/>
    <x v="2"/>
    <x v="2"/>
    <x v="2"/>
    <n v="2136"/>
    <n v="10"/>
    <n v="7"/>
    <n v="14952"/>
    <n v="747.6"/>
    <n v="14204.4"/>
    <n v="10680"/>
    <n v="3524.4"/>
    <d v="2013-01-12T00:00:00"/>
    <n v="12"/>
    <s v=" December "/>
    <x v="1"/>
    <n v="0"/>
    <n v="0.2481203007518797"/>
    <n v="0.7518796992481204"/>
    <n v="0.05263157894736843"/>
    <n v="6.649999999999999"/>
    <n v="1.65"/>
    <x v="0"/>
  </r>
  <r>
    <x v="1"/>
    <x v="1"/>
    <x v="2"/>
    <x v="2"/>
    <n v="2116"/>
    <n v="10"/>
    <n v="15"/>
    <n v="31740"/>
    <n v="1587"/>
    <n v="30153"/>
    <n v="21160"/>
    <n v="8993"/>
    <d v="2013-01-12T00:00:00"/>
    <n v="12"/>
    <s v=" December "/>
    <x v="1"/>
    <n v="0"/>
    <n v="0.2982456140350877"/>
    <n v="0.7017543859649122"/>
    <n v="0.05263157894736842"/>
    <n v="14.25"/>
    <n v="4.25"/>
    <x v="0"/>
  </r>
  <r>
    <x v="1"/>
    <x v="4"/>
    <x v="3"/>
    <x v="2"/>
    <n v="555"/>
    <n v="120"/>
    <n v="15"/>
    <n v="8325"/>
    <n v="416.25"/>
    <n v="7908.75"/>
    <n v="5550"/>
    <n v="2358.75"/>
    <d v="2014-01-01T00:00:00"/>
    <n v="1"/>
    <s v=" January "/>
    <x v="0"/>
    <n v="0"/>
    <n v="0.2982456140350877"/>
    <n v="0.7017543859649122"/>
    <n v="0.05263157894736842"/>
    <n v="14.25"/>
    <n v="4.25"/>
    <x v="0"/>
  </r>
  <r>
    <x v="1"/>
    <x v="3"/>
    <x v="3"/>
    <x v="2"/>
    <n v="2861"/>
    <n v="120"/>
    <n v="15"/>
    <n v="42915"/>
    <n v="2145.75"/>
    <n v="40769.25"/>
    <n v="28610"/>
    <n v="12159.25"/>
    <d v="2014-01-01T00:00:00"/>
    <n v="1"/>
    <s v=" January "/>
    <x v="0"/>
    <n v="0"/>
    <n v="0.2982456140350877"/>
    <n v="0.7017543859649122"/>
    <n v="0.05263157894736842"/>
    <n v="14.25"/>
    <n v="4.25"/>
    <x v="0"/>
  </r>
  <r>
    <x v="3"/>
    <x v="1"/>
    <x v="3"/>
    <x v="2"/>
    <n v="807"/>
    <n v="120"/>
    <n v="125"/>
    <n v="100875"/>
    <n v="5043.75"/>
    <n v="95831.25"/>
    <n v="96840"/>
    <n v="-1008.75"/>
    <d v="2014-01-02T00:00:00"/>
    <n v="2"/>
    <s v=" February "/>
    <x v="0"/>
    <n v="0"/>
    <n v="-0.01052631578947368"/>
    <n v="1.010526315789474"/>
    <n v="0.05263157894736842"/>
    <n v="118.75"/>
    <n v="-1.25"/>
    <x v="1"/>
  </r>
  <r>
    <x v="0"/>
    <x v="4"/>
    <x v="3"/>
    <x v="2"/>
    <n v="602"/>
    <n v="120"/>
    <n v="350"/>
    <n v="210700"/>
    <n v="10535"/>
    <n v="200165"/>
    <n v="156520"/>
    <n v="43645"/>
    <d v="2014-01-06T00:00:00"/>
    <n v="6"/>
    <s v=" June "/>
    <x v="0"/>
    <n v="0"/>
    <n v="0.2180451127819549"/>
    <n v="0.7819548872180451"/>
    <n v="0.05263157894736842"/>
    <n v="332.5"/>
    <n v="72.5"/>
    <x v="0"/>
  </r>
  <r>
    <x v="0"/>
    <x v="4"/>
    <x v="3"/>
    <x v="2"/>
    <n v="2832"/>
    <n v="120"/>
    <n v="20"/>
    <n v="56640"/>
    <n v="2832"/>
    <n v="53808"/>
    <n v="28320"/>
    <n v="25488"/>
    <d v="2014-01-08T00:00:00"/>
    <n v="8"/>
    <s v=" August "/>
    <x v="0"/>
    <n v="0"/>
    <n v="0.4736842105263158"/>
    <n v="0.5263157894736842"/>
    <n v="0.05263157894736842"/>
    <n v="19"/>
    <n v="9"/>
    <x v="0"/>
  </r>
  <r>
    <x v="0"/>
    <x v="2"/>
    <x v="3"/>
    <x v="2"/>
    <n v="1579"/>
    <n v="120"/>
    <n v="20"/>
    <n v="31580"/>
    <n v="1579"/>
    <n v="30001"/>
    <n v="15790"/>
    <n v="14211"/>
    <d v="2014-01-08T00:00:00"/>
    <n v="8"/>
    <s v=" August "/>
    <x v="0"/>
    <n v="0"/>
    <n v="0.4736842105263158"/>
    <n v="0.5263157894736842"/>
    <n v="0.05263157894736842"/>
    <n v="19"/>
    <n v="9"/>
    <x v="0"/>
  </r>
  <r>
    <x v="3"/>
    <x v="4"/>
    <x v="3"/>
    <x v="2"/>
    <n v="861"/>
    <n v="120"/>
    <n v="125"/>
    <n v="107625"/>
    <n v="5381.25"/>
    <n v="102243.75"/>
    <n v="103320"/>
    <n v="-1076.25"/>
    <d v="2014-01-10T00:00:00"/>
    <n v="10"/>
    <s v=" October "/>
    <x v="0"/>
    <n v="0"/>
    <n v="-0.01052631578947368"/>
    <n v="1.010526315789474"/>
    <n v="0.05263157894736842"/>
    <n v="118.75"/>
    <n v="-1.25"/>
    <x v="1"/>
  </r>
  <r>
    <x v="3"/>
    <x v="2"/>
    <x v="3"/>
    <x v="2"/>
    <n v="704"/>
    <n v="120"/>
    <n v="125"/>
    <n v="88000"/>
    <n v="4400"/>
    <n v="83600"/>
    <n v="84480"/>
    <n v="-880"/>
    <d v="2013-01-10T00:00:00"/>
    <n v="10"/>
    <s v=" October "/>
    <x v="1"/>
    <n v="0"/>
    <n v="-0.01052631578947368"/>
    <n v="1.010526315789474"/>
    <n v="0.05263157894736842"/>
    <n v="118.75"/>
    <n v="-1.25"/>
    <x v="1"/>
  </r>
  <r>
    <x v="0"/>
    <x v="2"/>
    <x v="3"/>
    <x v="2"/>
    <n v="1033"/>
    <n v="120"/>
    <n v="20"/>
    <n v="20660"/>
    <n v="1033"/>
    <n v="19627"/>
    <n v="10330"/>
    <n v="9297"/>
    <d v="2013-01-12T00:00:00"/>
    <n v="12"/>
    <s v=" December "/>
    <x v="1"/>
    <n v="0"/>
    <n v="0.4736842105263158"/>
    <n v="0.5263157894736842"/>
    <n v="0.05263157894736842"/>
    <n v="19"/>
    <n v="9"/>
    <x v="0"/>
  </r>
  <r>
    <x v="4"/>
    <x v="1"/>
    <x v="3"/>
    <x v="2"/>
    <n v="1250"/>
    <n v="120"/>
    <n v="300"/>
    <n v="375000"/>
    <n v="18750"/>
    <n v="356250"/>
    <n v="312500"/>
    <n v="43750"/>
    <d v="2014-01-12T00:00:00"/>
    <n v="12"/>
    <s v=" December "/>
    <x v="0"/>
    <n v="0"/>
    <n v="0.1228070175438596"/>
    <n v="0.8771929824561403"/>
    <n v="0.05263157894736842"/>
    <n v="285"/>
    <n v="35"/>
    <x v="0"/>
  </r>
  <r>
    <x v="0"/>
    <x v="0"/>
    <x v="4"/>
    <x v="2"/>
    <n v="1389"/>
    <n v="250"/>
    <n v="20"/>
    <n v="27780"/>
    <n v="1389"/>
    <n v="26391"/>
    <n v="13890"/>
    <n v="12501"/>
    <d v="2013-01-10T00:00:00"/>
    <n v="10"/>
    <s v=" October "/>
    <x v="1"/>
    <n v="0"/>
    <n v="0.4736842105263158"/>
    <n v="0.5263157894736842"/>
    <n v="0.05263157894736842"/>
    <n v="19"/>
    <n v="9"/>
    <x v="0"/>
  </r>
  <r>
    <x v="0"/>
    <x v="4"/>
    <x v="4"/>
    <x v="2"/>
    <n v="1265"/>
    <n v="250"/>
    <n v="20"/>
    <n v="25300"/>
    <n v="1265"/>
    <n v="24035"/>
    <n v="12650"/>
    <n v="11385"/>
    <d v="2013-01-11T00:00:00"/>
    <n v="11"/>
    <s v=" November "/>
    <x v="1"/>
    <n v="0"/>
    <n v="0.4736842105263158"/>
    <n v="0.5263157894736842"/>
    <n v="0.05263157894736842"/>
    <n v="19"/>
    <n v="9"/>
    <x v="0"/>
  </r>
  <r>
    <x v="0"/>
    <x v="1"/>
    <x v="4"/>
    <x v="2"/>
    <n v="2297"/>
    <n v="250"/>
    <n v="20"/>
    <n v="45940"/>
    <n v="2297"/>
    <n v="43643"/>
    <n v="22970"/>
    <n v="20673"/>
    <d v="2013-01-11T00:00:00"/>
    <n v="11"/>
    <s v=" November "/>
    <x v="1"/>
    <n v="0"/>
    <n v="0.4736842105263158"/>
    <n v="0.5263157894736842"/>
    <n v="0.05263157894736842"/>
    <n v="19"/>
    <n v="9"/>
    <x v="0"/>
  </r>
  <r>
    <x v="0"/>
    <x v="4"/>
    <x v="4"/>
    <x v="2"/>
    <n v="2663"/>
    <n v="250"/>
    <n v="20"/>
    <n v="53260"/>
    <n v="2663"/>
    <n v="50597"/>
    <n v="26630"/>
    <n v="23967"/>
    <d v="2014-01-12T00:00:00"/>
    <n v="12"/>
    <s v=" December "/>
    <x v="0"/>
    <n v="0"/>
    <n v="0.4736842105263158"/>
    <n v="0.5263157894736842"/>
    <n v="0.05263157894736842"/>
    <n v="19"/>
    <n v="9"/>
    <x v="0"/>
  </r>
  <r>
    <x v="0"/>
    <x v="4"/>
    <x v="4"/>
    <x v="2"/>
    <n v="570"/>
    <n v="250"/>
    <n v="7"/>
    <n v="3990"/>
    <n v="199.5"/>
    <n v="3790.5"/>
    <n v="2850"/>
    <n v="940.5"/>
    <d v="2014-01-12T00:00:00"/>
    <n v="12"/>
    <s v=" December "/>
    <x v="0"/>
    <n v="0"/>
    <n v="0.2481203007518797"/>
    <n v="0.7518796992481203"/>
    <n v="0.05263157894736842"/>
    <n v="6.65"/>
    <n v="1.65"/>
    <x v="0"/>
  </r>
  <r>
    <x v="0"/>
    <x v="2"/>
    <x v="4"/>
    <x v="2"/>
    <n v="2487"/>
    <n v="250"/>
    <n v="7"/>
    <n v="17409"/>
    <n v="870.45"/>
    <n v="16538.55"/>
    <n v="12435"/>
    <n v="4103.55"/>
    <d v="2014-01-12T00:00:00"/>
    <n v="12"/>
    <s v=" December "/>
    <x v="0"/>
    <n v="0"/>
    <n v="0.2481203007518797"/>
    <n v="0.7518796992481204"/>
    <n v="0.05263157894736843"/>
    <n v="6.649999999999999"/>
    <n v="1.65"/>
    <x v="0"/>
  </r>
  <r>
    <x v="0"/>
    <x v="1"/>
    <x v="5"/>
    <x v="2"/>
    <n v="1350"/>
    <n v="260"/>
    <n v="350"/>
    <n v="472500"/>
    <n v="23625"/>
    <n v="448875"/>
    <n v="351000"/>
    <n v="97875"/>
    <d v="2014-01-02T00:00:00"/>
    <n v="2"/>
    <s v=" February "/>
    <x v="0"/>
    <n v="0"/>
    <n v="0.2180451127819549"/>
    <n v="0.7819548872180451"/>
    <n v="0.05263157894736842"/>
    <n v="332.5"/>
    <n v="72.5"/>
    <x v="0"/>
  </r>
  <r>
    <x v="0"/>
    <x v="0"/>
    <x v="5"/>
    <x v="2"/>
    <n v="552"/>
    <n v="260"/>
    <n v="350"/>
    <n v="193200"/>
    <n v="9660"/>
    <n v="183540"/>
    <n v="143520"/>
    <n v="40020"/>
    <d v="2014-01-08T00:00:00"/>
    <n v="8"/>
    <s v=" August "/>
    <x v="0"/>
    <n v="0"/>
    <n v="0.2180451127819549"/>
    <n v="0.7819548872180451"/>
    <n v="0.05263157894736842"/>
    <n v="332.5"/>
    <n v="72.5"/>
    <x v="0"/>
  </r>
  <r>
    <x v="0"/>
    <x v="0"/>
    <x v="5"/>
    <x v="2"/>
    <n v="1228"/>
    <n v="260"/>
    <n v="350"/>
    <n v="429800"/>
    <n v="21490"/>
    <n v="408310"/>
    <n v="319280"/>
    <n v="89030"/>
    <d v="2013-01-10T00:00:00"/>
    <n v="10"/>
    <s v=" October "/>
    <x v="1"/>
    <n v="0"/>
    <n v="0.2180451127819549"/>
    <n v="0.7819548872180451"/>
    <n v="0.05263157894736842"/>
    <n v="332.5"/>
    <n v="72.5"/>
    <x v="0"/>
  </r>
  <r>
    <x v="4"/>
    <x v="1"/>
    <x v="5"/>
    <x v="2"/>
    <n v="1250"/>
    <n v="260"/>
    <n v="300"/>
    <n v="375000"/>
    <n v="18750"/>
    <n v="356250"/>
    <n v="312500"/>
    <n v="43750"/>
    <d v="2014-01-12T00:00:00"/>
    <n v="12"/>
    <s v=" December "/>
    <x v="0"/>
    <n v="0"/>
    <n v="0.1228070175438596"/>
    <n v="0.8771929824561403"/>
    <n v="0.05263157894736842"/>
    <n v="285"/>
    <n v="35"/>
    <x v="0"/>
  </r>
  <r>
    <x v="1"/>
    <x v="2"/>
    <x v="2"/>
    <x v="2"/>
    <n v="3801"/>
    <n v="10"/>
    <n v="15"/>
    <n v="57015"/>
    <n v="3420.9"/>
    <n v="53594.1"/>
    <n v="38010"/>
    <n v="15584.1"/>
    <d v="2014-01-04T00:00:00"/>
    <n v="4"/>
    <s v=" April "/>
    <x v="0"/>
    <n v="0"/>
    <n v="0.2907801418439717"/>
    <n v="0.7092198581560284"/>
    <n v="0.06382978723404256"/>
    <n v="14.1"/>
    <n v="4.100000000000001"/>
    <x v="0"/>
  </r>
  <r>
    <x v="0"/>
    <x v="4"/>
    <x v="0"/>
    <x v="2"/>
    <n v="1117.5"/>
    <n v="3"/>
    <n v="20"/>
    <n v="22350"/>
    <n v="1341"/>
    <n v="21009"/>
    <n v="11175"/>
    <n v="9834"/>
    <d v="2014-01-01T00:00:00"/>
    <n v="1"/>
    <s v=" January "/>
    <x v="0"/>
    <n v="1"/>
    <n v="0.4680851063829787"/>
    <n v="0.5319148936170213"/>
    <n v="0.06382978723404255"/>
    <n v="18.8"/>
    <n v="8.800000000000001"/>
    <x v="0"/>
  </r>
  <r>
    <x v="1"/>
    <x v="0"/>
    <x v="0"/>
    <x v="2"/>
    <n v="2844"/>
    <n v="3"/>
    <n v="15"/>
    <n v="42660"/>
    <n v="2559.6"/>
    <n v="40100.4"/>
    <n v="28440"/>
    <n v="11660.4"/>
    <d v="2014-01-06T00:00:00"/>
    <n v="6"/>
    <s v=" June "/>
    <x v="0"/>
    <n v="0"/>
    <n v="0.2907801418439716"/>
    <n v="0.7092198581560284"/>
    <n v="0.06382978723404255"/>
    <n v="14.1"/>
    <n v="4.1"/>
    <x v="0"/>
  </r>
  <r>
    <x v="2"/>
    <x v="3"/>
    <x v="0"/>
    <x v="2"/>
    <n v="562"/>
    <n v="3"/>
    <n v="12"/>
    <n v="6744"/>
    <n v="404.64"/>
    <n v="6339.36"/>
    <n v="1686"/>
    <n v="4653.36"/>
    <d v="2014-01-09T00:00:00"/>
    <n v="9"/>
    <s v=" September "/>
    <x v="0"/>
    <n v="0"/>
    <n v="0.7340425531914894"/>
    <n v="0.2659574468085106"/>
    <n v="0.06382978723404255"/>
    <n v="11.28"/>
    <n v="8.279999999999999"/>
    <x v="0"/>
  </r>
  <r>
    <x v="2"/>
    <x v="0"/>
    <x v="0"/>
    <x v="2"/>
    <n v="2299"/>
    <n v="3"/>
    <n v="12"/>
    <n v="27588"/>
    <n v="1655.28"/>
    <n v="25932.72"/>
    <n v="6897"/>
    <n v="19035.72"/>
    <d v="2013-01-10T00:00:00"/>
    <n v="10"/>
    <s v=" October "/>
    <x v="1"/>
    <n v="0"/>
    <n v="0.7340425531914894"/>
    <n v="0.2659574468085106"/>
    <n v="0.06382978723404255"/>
    <n v="11.28"/>
    <n v="8.280000000000001"/>
    <x v="0"/>
  </r>
  <r>
    <x v="1"/>
    <x v="4"/>
    <x v="0"/>
    <x v="2"/>
    <n v="2030"/>
    <n v="3"/>
    <n v="15"/>
    <n v="30450"/>
    <n v="1827"/>
    <n v="28623"/>
    <n v="20300"/>
    <n v="8323"/>
    <d v="2014-01-11T00:00:00"/>
    <n v="11"/>
    <s v=" November "/>
    <x v="0"/>
    <n v="0"/>
    <n v="0.2907801418439716"/>
    <n v="0.7092198581560284"/>
    <n v="0.06382978723404255"/>
    <n v="14.1"/>
    <n v="4.1"/>
    <x v="0"/>
  </r>
  <r>
    <x v="0"/>
    <x v="4"/>
    <x v="0"/>
    <x v="2"/>
    <n v="263"/>
    <n v="3"/>
    <n v="7"/>
    <n v="1841"/>
    <n v="110.46"/>
    <n v="1730.54"/>
    <n v="1315"/>
    <n v="415.54"/>
    <d v="2013-01-11T00:00:00"/>
    <n v="11"/>
    <s v=" November "/>
    <x v="1"/>
    <n v="0"/>
    <n v="0.2401215805471125"/>
    <n v="0.7598784194528876"/>
    <n v="0.06382978723404255"/>
    <n v="6.58"/>
    <n v="1.58"/>
    <x v="0"/>
  </r>
  <r>
    <x v="3"/>
    <x v="1"/>
    <x v="0"/>
    <x v="2"/>
    <n v="887"/>
    <n v="3"/>
    <n v="125"/>
    <n v="110875"/>
    <n v="6652.5"/>
    <n v="104222.5"/>
    <n v="106440"/>
    <n v="-2217.5"/>
    <d v="2013-01-12T00:00:00"/>
    <n v="12"/>
    <s v=" December "/>
    <x v="1"/>
    <n v="0"/>
    <n v="-0.02127659574468085"/>
    <n v="1.021276595744681"/>
    <n v="0.06382978723404255"/>
    <n v="117.5"/>
    <n v="-2.5"/>
    <x v="1"/>
  </r>
  <r>
    <x v="0"/>
    <x v="3"/>
    <x v="1"/>
    <x v="2"/>
    <n v="980"/>
    <n v="5"/>
    <n v="350"/>
    <n v="343000"/>
    <n v="20580"/>
    <n v="322420"/>
    <n v="254800"/>
    <n v="67620"/>
    <d v="2014-01-04T00:00:00"/>
    <n v="4"/>
    <s v=" April "/>
    <x v="0"/>
    <n v="0"/>
    <n v="0.209726443768997"/>
    <n v="0.790273556231003"/>
    <n v="0.06382978723404255"/>
    <n v="329"/>
    <n v="69"/>
    <x v="0"/>
  </r>
  <r>
    <x v="0"/>
    <x v="1"/>
    <x v="1"/>
    <x v="2"/>
    <n v="1460"/>
    <n v="5"/>
    <n v="350"/>
    <n v="511000"/>
    <n v="30660"/>
    <n v="480340"/>
    <n v="379600"/>
    <n v="100740"/>
    <d v="2014-01-05T00:00:00"/>
    <n v="5"/>
    <s v=" May "/>
    <x v="0"/>
    <n v="0"/>
    <n v="0.209726443768997"/>
    <n v="0.790273556231003"/>
    <n v="0.06382978723404255"/>
    <n v="329"/>
    <n v="69"/>
    <x v="0"/>
  </r>
  <r>
    <x v="0"/>
    <x v="2"/>
    <x v="1"/>
    <x v="2"/>
    <n v="1403"/>
    <n v="5"/>
    <n v="7"/>
    <n v="9821"/>
    <n v="589.26"/>
    <n v="9231.74"/>
    <n v="7015"/>
    <n v="2216.74"/>
    <d v="2013-01-10T00:00:00"/>
    <n v="10"/>
    <s v=" October "/>
    <x v="1"/>
    <n v="0"/>
    <n v="0.2401215805471124"/>
    <n v="0.7598784194528876"/>
    <n v="0.06382978723404255"/>
    <n v="6.58"/>
    <n v="1.58"/>
    <x v="0"/>
  </r>
  <r>
    <x v="2"/>
    <x v="4"/>
    <x v="1"/>
    <x v="2"/>
    <n v="2723"/>
    <n v="5"/>
    <n v="12"/>
    <n v="32676"/>
    <n v="1960.56"/>
    <n v="30715.44"/>
    <n v="8169"/>
    <n v="22546.44"/>
    <d v="2014-01-11T00:00:00"/>
    <n v="11"/>
    <s v=" November "/>
    <x v="0"/>
    <n v="0"/>
    <n v="0.7340425531914894"/>
    <n v="0.2659574468085106"/>
    <n v="0.06382978723404255"/>
    <n v="11.28"/>
    <n v="8.279999999999999"/>
    <x v="0"/>
  </r>
  <r>
    <x v="0"/>
    <x v="2"/>
    <x v="2"/>
    <x v="2"/>
    <n v="1496"/>
    <n v="10"/>
    <n v="350"/>
    <n v="523600"/>
    <n v="31416"/>
    <n v="492184"/>
    <n v="388960"/>
    <n v="103224"/>
    <d v="2014-01-06T00:00:00"/>
    <n v="6"/>
    <s v=" June "/>
    <x v="0"/>
    <n v="0"/>
    <n v="0.209726443768997"/>
    <n v="0.790273556231003"/>
    <n v="0.06382978723404255"/>
    <n v="329"/>
    <n v="69"/>
    <x v="0"/>
  </r>
  <r>
    <x v="2"/>
    <x v="0"/>
    <x v="2"/>
    <x v="2"/>
    <n v="2299"/>
    <n v="10"/>
    <n v="12"/>
    <n v="27588"/>
    <n v="1655.28"/>
    <n v="25932.72"/>
    <n v="6897"/>
    <n v="19035.72"/>
    <d v="2013-01-10T00:00:00"/>
    <n v="10"/>
    <s v=" October "/>
    <x v="1"/>
    <n v="0"/>
    <n v="0.7340425531914894"/>
    <n v="0.2659574468085106"/>
    <n v="0.06382978723404255"/>
    <n v="11.28"/>
    <n v="8.280000000000001"/>
    <x v="0"/>
  </r>
  <r>
    <x v="0"/>
    <x v="4"/>
    <x v="2"/>
    <x v="2"/>
    <n v="727"/>
    <n v="10"/>
    <n v="350"/>
    <n v="254450"/>
    <n v="15267"/>
    <n v="239183"/>
    <n v="189020"/>
    <n v="50163"/>
    <d v="2013-01-10T00:00:00"/>
    <n v="10"/>
    <s v=" October "/>
    <x v="1"/>
    <n v="0"/>
    <n v="0.209726443768997"/>
    <n v="0.790273556231003"/>
    <n v="0.06382978723404255"/>
    <n v="329"/>
    <n v="69"/>
    <x v="0"/>
  </r>
  <r>
    <x v="3"/>
    <x v="0"/>
    <x v="3"/>
    <x v="2"/>
    <n v="952"/>
    <n v="120"/>
    <n v="125"/>
    <n v="119000"/>
    <n v="7140"/>
    <n v="111860"/>
    <n v="114240"/>
    <n v="-2380"/>
    <d v="2014-01-02T00:00:00"/>
    <n v="2"/>
    <s v=" February "/>
    <x v="0"/>
    <n v="0"/>
    <n v="-0.02127659574468085"/>
    <n v="1.021276595744681"/>
    <n v="0.06382978723404255"/>
    <n v="117.5"/>
    <n v="-2.5"/>
    <x v="1"/>
  </r>
  <r>
    <x v="3"/>
    <x v="4"/>
    <x v="3"/>
    <x v="2"/>
    <n v="2755"/>
    <n v="120"/>
    <n v="125"/>
    <n v="344375"/>
    <n v="20662.5"/>
    <n v="323712.5"/>
    <n v="330600"/>
    <n v="-6887.5"/>
    <d v="2014-01-02T00:00:00"/>
    <n v="2"/>
    <s v=" February "/>
    <x v="0"/>
    <n v="0"/>
    <n v="-0.02127659574468085"/>
    <n v="1.021276595744681"/>
    <n v="0.06382978723404255"/>
    <n v="117.5"/>
    <n v="-2.5"/>
    <x v="1"/>
  </r>
  <r>
    <x v="1"/>
    <x v="1"/>
    <x v="3"/>
    <x v="2"/>
    <n v="1530"/>
    <n v="120"/>
    <n v="15"/>
    <n v="22950"/>
    <n v="1377"/>
    <n v="21573"/>
    <n v="15300"/>
    <n v="6273"/>
    <d v="2014-01-05T00:00:00"/>
    <n v="5"/>
    <s v=" May "/>
    <x v="0"/>
    <n v="0"/>
    <n v="0.2907801418439716"/>
    <n v="0.7092198581560284"/>
    <n v="0.06382978723404255"/>
    <n v="14.1"/>
    <n v="4.1"/>
    <x v="0"/>
  </r>
  <r>
    <x v="0"/>
    <x v="2"/>
    <x v="3"/>
    <x v="2"/>
    <n v="1496"/>
    <n v="120"/>
    <n v="350"/>
    <n v="523600"/>
    <n v="31416"/>
    <n v="492184"/>
    <n v="388960"/>
    <n v="103224"/>
    <d v="2014-01-06T00:00:00"/>
    <n v="6"/>
    <s v=" June "/>
    <x v="0"/>
    <n v="0"/>
    <n v="0.209726443768997"/>
    <n v="0.790273556231003"/>
    <n v="0.06382978723404255"/>
    <n v="329"/>
    <n v="69"/>
    <x v="0"/>
  </r>
  <r>
    <x v="0"/>
    <x v="3"/>
    <x v="3"/>
    <x v="2"/>
    <n v="1498"/>
    <n v="120"/>
    <n v="7"/>
    <n v="10486"/>
    <n v="629.16"/>
    <n v="9856.84"/>
    <n v="7490"/>
    <n v="2366.84"/>
    <d v="2014-01-06T00:00:00"/>
    <n v="6"/>
    <s v=" June "/>
    <x v="0"/>
    <n v="0"/>
    <n v="0.2401215805471125"/>
    <n v="0.7598784194528875"/>
    <n v="0.06382978723404255"/>
    <n v="6.58"/>
    <n v="1.58"/>
    <x v="0"/>
  </r>
  <r>
    <x v="4"/>
    <x v="2"/>
    <x v="3"/>
    <x v="2"/>
    <n v="1221"/>
    <n v="120"/>
    <n v="300"/>
    <n v="366300"/>
    <n v="21978"/>
    <n v="344322"/>
    <n v="305250"/>
    <n v="39072"/>
    <d v="2013-01-10T00:00:00"/>
    <n v="10"/>
    <s v=" October "/>
    <x v="1"/>
    <n v="0"/>
    <n v="0.1134751773049645"/>
    <n v="0.8865248226950354"/>
    <n v="0.06382978723404255"/>
    <n v="282"/>
    <n v="32"/>
    <x v="0"/>
  </r>
  <r>
    <x v="0"/>
    <x v="2"/>
    <x v="3"/>
    <x v="2"/>
    <n v="2076"/>
    <n v="120"/>
    <n v="350"/>
    <n v="726600"/>
    <n v="43596"/>
    <n v="683004"/>
    <n v="539760"/>
    <n v="143244"/>
    <d v="2013-01-10T00:00:00"/>
    <n v="10"/>
    <s v=" October "/>
    <x v="1"/>
    <n v="0"/>
    <n v="0.209726443768997"/>
    <n v="0.790273556231003"/>
    <n v="0.06382978723404255"/>
    <n v="329"/>
    <n v="69"/>
    <x v="0"/>
  </r>
  <r>
    <x v="1"/>
    <x v="0"/>
    <x v="4"/>
    <x v="2"/>
    <n v="2844"/>
    <n v="250"/>
    <n v="15"/>
    <n v="42660"/>
    <n v="2559.6"/>
    <n v="40100.4"/>
    <n v="28440"/>
    <n v="11660.4"/>
    <d v="2014-01-06T00:00:00"/>
    <n v="6"/>
    <s v=" June "/>
    <x v="0"/>
    <n v="0"/>
    <n v="0.2907801418439716"/>
    <n v="0.7092198581560284"/>
    <n v="0.06382978723404255"/>
    <n v="14.1"/>
    <n v="4.1"/>
    <x v="0"/>
  </r>
  <r>
    <x v="0"/>
    <x v="3"/>
    <x v="4"/>
    <x v="2"/>
    <n v="1498"/>
    <n v="250"/>
    <n v="7"/>
    <n v="10486"/>
    <n v="629.16"/>
    <n v="9856.84"/>
    <n v="7490"/>
    <n v="2366.84"/>
    <d v="2014-01-06T00:00:00"/>
    <n v="6"/>
    <s v=" June "/>
    <x v="0"/>
    <n v="0"/>
    <n v="0.2401215805471125"/>
    <n v="0.7598784194528875"/>
    <n v="0.06382978723404255"/>
    <n v="6.58"/>
    <n v="1.58"/>
    <x v="0"/>
  </r>
  <r>
    <x v="4"/>
    <x v="2"/>
    <x v="4"/>
    <x v="2"/>
    <n v="1221"/>
    <n v="250"/>
    <n v="300"/>
    <n v="366300"/>
    <n v="21978"/>
    <n v="344322"/>
    <n v="305250"/>
    <n v="39072"/>
    <d v="2013-01-10T00:00:00"/>
    <n v="10"/>
    <s v=" October "/>
    <x v="1"/>
    <n v="0"/>
    <n v="0.1134751773049645"/>
    <n v="0.8865248226950354"/>
    <n v="0.06382978723404255"/>
    <n v="282"/>
    <n v="32"/>
    <x v="0"/>
  </r>
  <r>
    <x v="0"/>
    <x v="3"/>
    <x v="4"/>
    <x v="2"/>
    <n v="1123"/>
    <n v="250"/>
    <n v="20"/>
    <n v="22460"/>
    <n v="1347.6"/>
    <n v="21112.4"/>
    <n v="11230"/>
    <n v="9882.4"/>
    <d v="2013-01-11T00:00:00"/>
    <n v="11"/>
    <s v=" November "/>
    <x v="1"/>
    <n v="0"/>
    <n v="0.4680851063829787"/>
    <n v="0.5319148936170213"/>
    <n v="0.06382978723404255"/>
    <n v="18.8"/>
    <n v="8.799999999999999"/>
    <x v="0"/>
  </r>
  <r>
    <x v="4"/>
    <x v="0"/>
    <x v="4"/>
    <x v="2"/>
    <n v="2436"/>
    <n v="250"/>
    <n v="300"/>
    <n v="730800"/>
    <n v="43848"/>
    <n v="686952"/>
    <n v="609000"/>
    <n v="77952"/>
    <d v="2013-01-12T00:00:00"/>
    <n v="12"/>
    <s v=" December "/>
    <x v="1"/>
    <n v="0"/>
    <n v="0.1134751773049645"/>
    <n v="0.8865248226950354"/>
    <n v="0.06382978723404255"/>
    <n v="282"/>
    <n v="32"/>
    <x v="0"/>
  </r>
  <r>
    <x v="3"/>
    <x v="2"/>
    <x v="5"/>
    <x v="2"/>
    <n v="1987.5"/>
    <n v="260"/>
    <n v="125"/>
    <n v="248437.5"/>
    <n v="14906.25"/>
    <n v="233531.25"/>
    <n v="238500"/>
    <n v="-4968.75"/>
    <d v="2014-01-01T00:00:00"/>
    <n v="1"/>
    <s v=" January "/>
    <x v="0"/>
    <n v="1"/>
    <n v="-0.02127659574468085"/>
    <n v="1.021276595744681"/>
    <n v="0.06382978723404255"/>
    <n v="117.5"/>
    <n v="-2.5"/>
    <x v="1"/>
  </r>
  <r>
    <x v="0"/>
    <x v="3"/>
    <x v="5"/>
    <x v="2"/>
    <n v="1679"/>
    <n v="260"/>
    <n v="350"/>
    <n v="587650"/>
    <n v="35259"/>
    <n v="552391"/>
    <n v="436540"/>
    <n v="115851"/>
    <d v="2014-01-09T00:00:00"/>
    <n v="9"/>
    <s v=" September "/>
    <x v="0"/>
    <n v="0"/>
    <n v="0.209726443768997"/>
    <n v="0.790273556231003"/>
    <n v="0.06382978723404255"/>
    <n v="329"/>
    <n v="69"/>
    <x v="0"/>
  </r>
  <r>
    <x v="0"/>
    <x v="4"/>
    <x v="5"/>
    <x v="2"/>
    <n v="727"/>
    <n v="260"/>
    <n v="350"/>
    <n v="254450"/>
    <n v="15267"/>
    <n v="239183"/>
    <n v="189020"/>
    <n v="50163"/>
    <d v="2013-01-10T00:00:00"/>
    <n v="10"/>
    <s v=" October "/>
    <x v="1"/>
    <n v="0"/>
    <n v="0.209726443768997"/>
    <n v="0.790273556231003"/>
    <n v="0.06382978723404255"/>
    <n v="329"/>
    <n v="69"/>
    <x v="0"/>
  </r>
  <r>
    <x v="0"/>
    <x v="2"/>
    <x v="5"/>
    <x v="2"/>
    <n v="1403"/>
    <n v="260"/>
    <n v="7"/>
    <n v="9821"/>
    <n v="589.26"/>
    <n v="9231.74"/>
    <n v="7015"/>
    <n v="2216.74"/>
    <d v="2013-01-10T00:00:00"/>
    <n v="10"/>
    <s v=" October "/>
    <x v="1"/>
    <n v="0"/>
    <n v="0.2401215805471124"/>
    <n v="0.7598784194528876"/>
    <n v="0.06382978723404255"/>
    <n v="6.58"/>
    <n v="1.58"/>
    <x v="0"/>
  </r>
  <r>
    <x v="0"/>
    <x v="2"/>
    <x v="5"/>
    <x v="2"/>
    <n v="2076"/>
    <n v="260"/>
    <n v="350"/>
    <n v="726600"/>
    <n v="43596"/>
    <n v="683004"/>
    <n v="539760"/>
    <n v="143244"/>
    <d v="2013-01-10T00:00:00"/>
    <n v="10"/>
    <s v=" October "/>
    <x v="1"/>
    <n v="0"/>
    <n v="0.209726443768997"/>
    <n v="0.790273556231003"/>
    <n v="0.06382978723404255"/>
    <n v="329"/>
    <n v="69"/>
    <x v="0"/>
  </r>
  <r>
    <x v="0"/>
    <x v="2"/>
    <x v="1"/>
    <x v="2"/>
    <n v="1757"/>
    <n v="5"/>
    <n v="20"/>
    <n v="35140"/>
    <n v="2108.4"/>
    <n v="33031.6"/>
    <n v="17570"/>
    <n v="15461.6"/>
    <d v="2013-01-10T00:00:00"/>
    <n v="10"/>
    <s v=" October "/>
    <x v="1"/>
    <n v="0"/>
    <n v="0.4680851063829787"/>
    <n v="0.5319148936170213"/>
    <n v="0.06382978723404256"/>
    <n v="18.8"/>
    <n v="8.800000000000001"/>
    <x v="0"/>
  </r>
  <r>
    <x v="1"/>
    <x v="4"/>
    <x v="2"/>
    <x v="2"/>
    <n v="2198"/>
    <n v="10"/>
    <n v="15"/>
    <n v="32970"/>
    <n v="1978.2"/>
    <n v="30991.8"/>
    <n v="21980"/>
    <n v="9011.799999999999"/>
    <d v="2014-01-08T00:00:00"/>
    <n v="8"/>
    <s v=" August "/>
    <x v="0"/>
    <n v="0"/>
    <n v="0.2907801418439716"/>
    <n v="0.7092198581560284"/>
    <n v="0.06382978723404256"/>
    <n v="14.1"/>
    <n v="4.1"/>
    <x v="0"/>
  </r>
  <r>
    <x v="1"/>
    <x v="1"/>
    <x v="2"/>
    <x v="2"/>
    <n v="1743"/>
    <n v="10"/>
    <n v="15"/>
    <n v="26145"/>
    <n v="1568.7"/>
    <n v="24576.3"/>
    <n v="17430"/>
    <n v="7146.3"/>
    <d v="2014-01-08T00:00:00"/>
    <n v="8"/>
    <s v=" August "/>
    <x v="0"/>
    <n v="0"/>
    <n v="0.2907801418439717"/>
    <n v="0.7092198581560284"/>
    <n v="0.06382978723404256"/>
    <n v="14.1"/>
    <n v="4.100000000000001"/>
    <x v="0"/>
  </r>
  <r>
    <x v="1"/>
    <x v="4"/>
    <x v="2"/>
    <x v="2"/>
    <n v="1153"/>
    <n v="10"/>
    <n v="15"/>
    <n v="17295"/>
    <n v="1037.7"/>
    <n v="16257.3"/>
    <n v="11530"/>
    <n v="4727.3"/>
    <d v="2014-01-10T00:00:00"/>
    <n v="10"/>
    <s v=" October "/>
    <x v="0"/>
    <n v="0"/>
    <n v="0.2907801418439717"/>
    <n v="0.7092198581560284"/>
    <n v="0.06382978723404256"/>
    <n v="14.1"/>
    <n v="4.100000000000001"/>
    <x v="0"/>
  </r>
  <r>
    <x v="0"/>
    <x v="2"/>
    <x v="2"/>
    <x v="2"/>
    <n v="1757"/>
    <n v="10"/>
    <n v="20"/>
    <n v="35140"/>
    <n v="2108.4"/>
    <n v="33031.6"/>
    <n v="17570"/>
    <n v="15461.6"/>
    <d v="2013-01-10T00:00:00"/>
    <n v="10"/>
    <s v=" October "/>
    <x v="1"/>
    <n v="0"/>
    <n v="0.4680851063829787"/>
    <n v="0.5319148936170213"/>
    <n v="0.06382978723404256"/>
    <n v="18.8"/>
    <n v="8.800000000000001"/>
    <x v="0"/>
  </r>
  <r>
    <x v="0"/>
    <x v="1"/>
    <x v="3"/>
    <x v="2"/>
    <n v="1001"/>
    <n v="120"/>
    <n v="20"/>
    <n v="20020"/>
    <n v="1201.2"/>
    <n v="18818.8"/>
    <n v="10010"/>
    <n v="8808.799999999999"/>
    <d v="2014-01-08T00:00:00"/>
    <n v="8"/>
    <s v=" August "/>
    <x v="0"/>
    <n v="0"/>
    <n v="0.4680851063829787"/>
    <n v="0.5319148936170213"/>
    <n v="0.06382978723404256"/>
    <n v="18.8"/>
    <n v="8.799999999999999"/>
    <x v="0"/>
  </r>
  <r>
    <x v="0"/>
    <x v="3"/>
    <x v="3"/>
    <x v="2"/>
    <n v="1333"/>
    <n v="120"/>
    <n v="7"/>
    <n v="9331"/>
    <n v="559.86"/>
    <n v="8771.139999999999"/>
    <n v="6665"/>
    <n v="2106.14"/>
    <d v="2014-01-11T00:00:00"/>
    <n v="11"/>
    <s v=" November "/>
    <x v="0"/>
    <n v="0"/>
    <n v="0.2401215805471125"/>
    <n v="0.7598784194528876"/>
    <n v="0.06382978723404256"/>
    <n v="6.579999999999999"/>
    <n v="1.58"/>
    <x v="0"/>
  </r>
  <r>
    <x v="1"/>
    <x v="4"/>
    <x v="4"/>
    <x v="2"/>
    <n v="1153"/>
    <n v="250"/>
    <n v="15"/>
    <n v="17295"/>
    <n v="1037.7"/>
    <n v="16257.3"/>
    <n v="11530"/>
    <n v="4727.3"/>
    <d v="2014-01-10T00:00:00"/>
    <n v="10"/>
    <s v=" October "/>
    <x v="0"/>
    <n v="0"/>
    <n v="0.2907801418439717"/>
    <n v="0.7092198581560284"/>
    <n v="0.06382978723404256"/>
    <n v="14.1"/>
    <n v="4.100000000000001"/>
    <x v="0"/>
  </r>
  <r>
    <x v="2"/>
    <x v="3"/>
    <x v="0"/>
    <x v="2"/>
    <n v="727"/>
    <n v="3"/>
    <n v="12"/>
    <n v="8724"/>
    <n v="610.6799999999999"/>
    <n v="8113.32"/>
    <n v="2181"/>
    <n v="5932.32"/>
    <d v="2014-01-02T00:00:00"/>
    <n v="2"/>
    <s v=" February "/>
    <x v="0"/>
    <n v="0"/>
    <n v="0.7311827956989247"/>
    <n v="0.2688172043010753"/>
    <n v="0.07526881720430108"/>
    <n v="11.16"/>
    <n v="8.16"/>
    <x v="0"/>
  </r>
  <r>
    <x v="2"/>
    <x v="0"/>
    <x v="0"/>
    <x v="2"/>
    <n v="1884"/>
    <n v="3"/>
    <n v="12"/>
    <n v="22608"/>
    <n v="1582.56"/>
    <n v="21025.44"/>
    <n v="5652"/>
    <n v="15373.44"/>
    <d v="2014-01-08T00:00:00"/>
    <n v="8"/>
    <s v=" August "/>
    <x v="0"/>
    <n v="0"/>
    <n v="0.7311827956989247"/>
    <n v="0.2688172043010753"/>
    <n v="0.07526881720430108"/>
    <n v="11.16"/>
    <n v="8.16"/>
    <x v="0"/>
  </r>
  <r>
    <x v="0"/>
    <x v="3"/>
    <x v="0"/>
    <x v="2"/>
    <n v="1834"/>
    <n v="3"/>
    <n v="20"/>
    <n v="36680"/>
    <n v="2567.6"/>
    <n v="34112.4"/>
    <n v="18340"/>
    <n v="15772.4"/>
    <d v="2013-01-09T00:00:00"/>
    <n v="9"/>
    <s v=" September "/>
    <x v="1"/>
    <n v="0"/>
    <n v="0.4623655913978494"/>
    <n v="0.5376344086021505"/>
    <n v="0.07526881720430106"/>
    <n v="18.6"/>
    <n v="8.6"/>
    <x v="0"/>
  </r>
  <r>
    <x v="2"/>
    <x v="3"/>
    <x v="1"/>
    <x v="2"/>
    <n v="2340"/>
    <n v="5"/>
    <n v="12"/>
    <n v="28080"/>
    <n v="1965.6"/>
    <n v="26114.4"/>
    <n v="7020"/>
    <n v="19094.4"/>
    <d v="2014-01-01T00:00:00"/>
    <n v="1"/>
    <s v=" January "/>
    <x v="0"/>
    <n v="0"/>
    <n v="0.7311827956989247"/>
    <n v="0.2688172043010753"/>
    <n v="0.07526881720430106"/>
    <n v="11.16"/>
    <n v="8.16"/>
    <x v="0"/>
  </r>
  <r>
    <x v="2"/>
    <x v="2"/>
    <x v="1"/>
    <x v="2"/>
    <n v="2342"/>
    <n v="5"/>
    <n v="12"/>
    <n v="28104"/>
    <n v="1967.28"/>
    <n v="26136.72"/>
    <n v="7026"/>
    <n v="19110.72"/>
    <d v="2014-01-11T00:00:00"/>
    <n v="11"/>
    <s v=" November "/>
    <x v="0"/>
    <n v="0"/>
    <n v="0.7311827956989247"/>
    <n v="0.2688172043010753"/>
    <n v="0.07526881720430108"/>
    <n v="11.16"/>
    <n v="8.16"/>
    <x v="0"/>
  </r>
  <r>
    <x v="0"/>
    <x v="2"/>
    <x v="2"/>
    <x v="2"/>
    <n v="1031"/>
    <n v="10"/>
    <n v="7"/>
    <n v="7217"/>
    <n v="505.19"/>
    <n v="6711.81"/>
    <n v="5155"/>
    <n v="1556.81"/>
    <d v="2013-01-09T00:00:00"/>
    <n v="9"/>
    <s v=" September "/>
    <x v="1"/>
    <n v="0"/>
    <n v="0.2319508448540706"/>
    <n v="0.7680491551459293"/>
    <n v="0.07526881720430106"/>
    <n v="6.510000000000001"/>
    <n v="1.51"/>
    <x v="0"/>
  </r>
  <r>
    <x v="1"/>
    <x v="0"/>
    <x v="3"/>
    <x v="2"/>
    <n v="1262"/>
    <n v="120"/>
    <n v="15"/>
    <n v="18930"/>
    <n v="1325.1"/>
    <n v="17604.9"/>
    <n v="12620"/>
    <n v="4984.9"/>
    <d v="2014-01-05T00:00:00"/>
    <n v="5"/>
    <s v=" May "/>
    <x v="0"/>
    <n v="0"/>
    <n v="0.2831541218637992"/>
    <n v="0.7168458781362007"/>
    <n v="0.07526881720430106"/>
    <n v="13.95"/>
    <n v="3.95"/>
    <x v="0"/>
  </r>
  <r>
    <x v="0"/>
    <x v="0"/>
    <x v="3"/>
    <x v="2"/>
    <n v="1135"/>
    <n v="120"/>
    <n v="7"/>
    <n v="7945"/>
    <n v="556.15"/>
    <n v="7388.85"/>
    <n v="5675"/>
    <n v="1713.85"/>
    <d v="2014-01-06T00:00:00"/>
    <n v="6"/>
    <s v=" June "/>
    <x v="0"/>
    <n v="0"/>
    <n v="0.2319508448540706"/>
    <n v="0.7680491551459293"/>
    <n v="0.07526881720430106"/>
    <n v="6.510000000000001"/>
    <n v="1.51"/>
    <x v="0"/>
  </r>
  <r>
    <x v="0"/>
    <x v="4"/>
    <x v="3"/>
    <x v="2"/>
    <n v="547"/>
    <n v="120"/>
    <n v="7"/>
    <n v="3829"/>
    <n v="268.03"/>
    <n v="3560.97"/>
    <n v="2735"/>
    <n v="825.97"/>
    <d v="2014-01-11T00:00:00"/>
    <n v="11"/>
    <s v=" November "/>
    <x v="0"/>
    <n v="0"/>
    <n v="0.2319508448540707"/>
    <n v="0.7680491551459294"/>
    <n v="0.07526881720430108"/>
    <n v="6.51"/>
    <n v="1.51"/>
    <x v="0"/>
  </r>
  <r>
    <x v="0"/>
    <x v="0"/>
    <x v="3"/>
    <x v="2"/>
    <n v="1582"/>
    <n v="120"/>
    <n v="7"/>
    <n v="11074"/>
    <n v="775.1799999999999"/>
    <n v="10298.82"/>
    <n v="7910"/>
    <n v="2388.82"/>
    <d v="2014-01-12T00:00:00"/>
    <n v="12"/>
    <s v=" December "/>
    <x v="0"/>
    <n v="0"/>
    <n v="0.2319508448540707"/>
    <n v="0.7680491551459293"/>
    <n v="0.07526881720430108"/>
    <n v="6.51"/>
    <n v="1.51"/>
    <x v="0"/>
  </r>
  <r>
    <x v="2"/>
    <x v="2"/>
    <x v="4"/>
    <x v="2"/>
    <n v="1738.5"/>
    <n v="250"/>
    <n v="12"/>
    <n v="20862"/>
    <n v="1460.34"/>
    <n v="19401.66"/>
    <n v="5215.5"/>
    <n v="14186.16"/>
    <d v="2014-01-04T00:00:00"/>
    <n v="4"/>
    <s v=" April "/>
    <x v="0"/>
    <n v="1"/>
    <n v="0.7311827956989247"/>
    <n v="0.2688172043010753"/>
    <n v="0.07526881720430108"/>
    <n v="11.16"/>
    <n v="8.16"/>
    <x v="0"/>
  </r>
  <r>
    <x v="2"/>
    <x v="1"/>
    <x v="4"/>
    <x v="2"/>
    <n v="2215"/>
    <n v="250"/>
    <n v="12"/>
    <n v="26580"/>
    <n v="1860.6"/>
    <n v="24719.4"/>
    <n v="6645"/>
    <n v="18074.4"/>
    <d v="2013-01-09T00:00:00"/>
    <n v="9"/>
    <s v=" September "/>
    <x v="1"/>
    <n v="0"/>
    <n v="0.7311827956989247"/>
    <n v="0.2688172043010753"/>
    <n v="0.07526881720430106"/>
    <n v="11.16"/>
    <n v="8.16"/>
    <x v="0"/>
  </r>
  <r>
    <x v="0"/>
    <x v="0"/>
    <x v="4"/>
    <x v="2"/>
    <n v="1582"/>
    <n v="250"/>
    <n v="7"/>
    <n v="11074"/>
    <n v="775.1799999999999"/>
    <n v="10298.82"/>
    <n v="7910"/>
    <n v="2388.82"/>
    <d v="2014-01-12T00:00:00"/>
    <n v="12"/>
    <s v=" December "/>
    <x v="0"/>
    <n v="0"/>
    <n v="0.2319508448540707"/>
    <n v="0.7680491551459293"/>
    <n v="0.07526881720430108"/>
    <n v="6.51"/>
    <n v="1.51"/>
    <x v="0"/>
  </r>
  <r>
    <x v="0"/>
    <x v="0"/>
    <x v="5"/>
    <x v="2"/>
    <n v="1135"/>
    <n v="260"/>
    <n v="7"/>
    <n v="7945"/>
    <n v="556.15"/>
    <n v="7388.85"/>
    <n v="5675"/>
    <n v="1713.85"/>
    <d v="2014-01-06T00:00:00"/>
    <n v="6"/>
    <s v=" June "/>
    <x v="0"/>
    <n v="0"/>
    <n v="0.2319508448540706"/>
    <n v="0.7680491551459293"/>
    <n v="0.07526881720430106"/>
    <n v="6.510000000000001"/>
    <n v="1.51"/>
    <x v="0"/>
  </r>
  <r>
    <x v="0"/>
    <x v="4"/>
    <x v="0"/>
    <x v="2"/>
    <n v="1761"/>
    <n v="3"/>
    <n v="350"/>
    <n v="616350"/>
    <n v="43144.5"/>
    <n v="573205.5"/>
    <n v="457860"/>
    <n v="115345.5"/>
    <d v="2014-01-03T00:00:00"/>
    <n v="3"/>
    <s v=" March "/>
    <x v="0"/>
    <n v="0"/>
    <n v="0.2012288786482335"/>
    <n v="0.7987711213517665"/>
    <n v="0.07526881720430108"/>
    <n v="325.5"/>
    <n v="65.5"/>
    <x v="0"/>
  </r>
  <r>
    <x v="4"/>
    <x v="2"/>
    <x v="0"/>
    <x v="2"/>
    <n v="448"/>
    <n v="3"/>
    <n v="300"/>
    <n v="134400"/>
    <n v="9408"/>
    <n v="124992"/>
    <n v="112000"/>
    <n v="12992"/>
    <d v="2014-01-06T00:00:00"/>
    <n v="6"/>
    <s v=" June "/>
    <x v="0"/>
    <n v="0"/>
    <n v="0.1039426523297491"/>
    <n v="0.8960573476702509"/>
    <n v="0.07526881720430108"/>
    <n v="279"/>
    <n v="29"/>
    <x v="0"/>
  </r>
  <r>
    <x v="4"/>
    <x v="2"/>
    <x v="0"/>
    <x v="2"/>
    <n v="2181"/>
    <n v="3"/>
    <n v="300"/>
    <n v="654300"/>
    <n v="45801"/>
    <n v="608499"/>
    <n v="545250"/>
    <n v="63249"/>
    <d v="2014-01-10T00:00:00"/>
    <n v="10"/>
    <s v=" October "/>
    <x v="0"/>
    <n v="0"/>
    <n v="0.1039426523297491"/>
    <n v="0.8960573476702509"/>
    <n v="0.07526881720430108"/>
    <n v="279"/>
    <n v="29"/>
    <x v="0"/>
  </r>
  <r>
    <x v="0"/>
    <x v="2"/>
    <x v="1"/>
    <x v="2"/>
    <n v="1976"/>
    <n v="5"/>
    <n v="20"/>
    <n v="39520"/>
    <n v="2766.4"/>
    <n v="36753.6"/>
    <n v="19760"/>
    <n v="16993.6"/>
    <d v="2014-01-10T00:00:00"/>
    <n v="10"/>
    <s v=" October "/>
    <x v="0"/>
    <n v="0"/>
    <n v="0.4623655913978494"/>
    <n v="0.5376344086021505"/>
    <n v="0.07526881720430108"/>
    <n v="18.6"/>
    <n v="8.6"/>
    <x v="0"/>
  </r>
  <r>
    <x v="4"/>
    <x v="2"/>
    <x v="1"/>
    <x v="2"/>
    <n v="2181"/>
    <n v="5"/>
    <n v="300"/>
    <n v="654300"/>
    <n v="45801"/>
    <n v="608499"/>
    <n v="545250"/>
    <n v="63249"/>
    <d v="2014-01-10T00:00:00"/>
    <n v="10"/>
    <s v=" October "/>
    <x v="0"/>
    <n v="0"/>
    <n v="0.1039426523297491"/>
    <n v="0.8960573476702509"/>
    <n v="0.07526881720430108"/>
    <n v="279"/>
    <n v="29"/>
    <x v="0"/>
  </r>
  <r>
    <x v="3"/>
    <x v="1"/>
    <x v="1"/>
    <x v="2"/>
    <n v="2500"/>
    <n v="5"/>
    <n v="125"/>
    <n v="312500"/>
    <n v="21875"/>
    <n v="290625"/>
    <n v="300000"/>
    <n v="-9375"/>
    <d v="2013-01-11T00:00:00"/>
    <n v="11"/>
    <s v=" November "/>
    <x v="1"/>
    <n v="0"/>
    <n v="-0.03225806451612903"/>
    <n v="1.032258064516129"/>
    <n v="0.07526881720430108"/>
    <n v="116.25"/>
    <n v="-3.75"/>
    <x v="1"/>
  </r>
  <r>
    <x v="4"/>
    <x v="0"/>
    <x v="2"/>
    <x v="2"/>
    <n v="1702"/>
    <n v="10"/>
    <n v="300"/>
    <n v="510600"/>
    <n v="35742"/>
    <n v="474858"/>
    <n v="425500"/>
    <n v="49358"/>
    <d v="2014-01-05T00:00:00"/>
    <n v="5"/>
    <s v=" May "/>
    <x v="0"/>
    <n v="0"/>
    <n v="0.1039426523297491"/>
    <n v="0.8960573476702509"/>
    <n v="0.07526881720430108"/>
    <n v="279"/>
    <n v="29"/>
    <x v="0"/>
  </r>
  <r>
    <x v="4"/>
    <x v="2"/>
    <x v="2"/>
    <x v="2"/>
    <n v="448"/>
    <n v="10"/>
    <n v="300"/>
    <n v="134400"/>
    <n v="9408"/>
    <n v="124992"/>
    <n v="112000"/>
    <n v="12992"/>
    <d v="2014-01-06T00:00:00"/>
    <n v="6"/>
    <s v=" June "/>
    <x v="0"/>
    <n v="0"/>
    <n v="0.1039426523297491"/>
    <n v="0.8960573476702509"/>
    <n v="0.07526881720430108"/>
    <n v="279"/>
    <n v="29"/>
    <x v="0"/>
  </r>
  <r>
    <x v="3"/>
    <x v="1"/>
    <x v="2"/>
    <x v="2"/>
    <n v="3513"/>
    <n v="10"/>
    <n v="125"/>
    <n v="439125"/>
    <n v="30738.75"/>
    <n v="408386.25"/>
    <n v="421560"/>
    <n v="-13173.75"/>
    <d v="2014-01-07T00:00:00"/>
    <n v="7"/>
    <s v=" July "/>
    <x v="0"/>
    <n v="0"/>
    <n v="-0.03225806451612903"/>
    <n v="1.032258064516129"/>
    <n v="0.07526881720430108"/>
    <n v="116.25"/>
    <n v="-3.75"/>
    <x v="1"/>
  </r>
  <r>
    <x v="1"/>
    <x v="2"/>
    <x v="2"/>
    <x v="2"/>
    <n v="2101"/>
    <n v="10"/>
    <n v="15"/>
    <n v="31515"/>
    <n v="2206.05"/>
    <n v="29308.95"/>
    <n v="21010"/>
    <n v="8298.950000000001"/>
    <d v="2014-01-08T00:00:00"/>
    <n v="8"/>
    <s v=" August "/>
    <x v="0"/>
    <n v="0"/>
    <n v="0.2831541218637993"/>
    <n v="0.7168458781362007"/>
    <n v="0.07526881720430108"/>
    <n v="13.95"/>
    <n v="3.95"/>
    <x v="0"/>
  </r>
  <r>
    <x v="1"/>
    <x v="4"/>
    <x v="2"/>
    <x v="2"/>
    <n v="2931"/>
    <n v="10"/>
    <n v="15"/>
    <n v="43965"/>
    <n v="3077.55"/>
    <n v="40887.45"/>
    <n v="29310"/>
    <n v="11577.45"/>
    <d v="2013-01-09T00:00:00"/>
    <n v="9"/>
    <s v=" September "/>
    <x v="1"/>
    <n v="0"/>
    <n v="0.2831541218637993"/>
    <n v="0.7168458781362008"/>
    <n v="0.07526881720430109"/>
    <n v="13.95"/>
    <n v="3.95"/>
    <x v="0"/>
  </r>
  <r>
    <x v="0"/>
    <x v="2"/>
    <x v="2"/>
    <x v="2"/>
    <n v="1535"/>
    <n v="10"/>
    <n v="20"/>
    <n v="30700"/>
    <n v="2149"/>
    <n v="28551"/>
    <n v="15350"/>
    <n v="13201"/>
    <d v="2014-01-09T00:00:00"/>
    <n v="9"/>
    <s v=" September "/>
    <x v="0"/>
    <n v="0"/>
    <n v="0.4623655913978494"/>
    <n v="0.5376344086021505"/>
    <n v="0.07526881720430108"/>
    <n v="18.6"/>
    <n v="8.6"/>
    <x v="0"/>
  </r>
  <r>
    <x v="4"/>
    <x v="1"/>
    <x v="2"/>
    <x v="2"/>
    <n v="1123"/>
    <n v="10"/>
    <n v="300"/>
    <n v="336900"/>
    <n v="23583"/>
    <n v="313317"/>
    <n v="280750"/>
    <n v="32567"/>
    <d v="2013-01-09T00:00:00"/>
    <n v="9"/>
    <s v=" September "/>
    <x v="1"/>
    <n v="0"/>
    <n v="0.1039426523297491"/>
    <n v="0.8960573476702509"/>
    <n v="0.07526881720430108"/>
    <n v="279"/>
    <n v="29"/>
    <x v="0"/>
  </r>
  <r>
    <x v="4"/>
    <x v="0"/>
    <x v="2"/>
    <x v="2"/>
    <n v="1404"/>
    <n v="10"/>
    <n v="300"/>
    <n v="421200"/>
    <n v="29484"/>
    <n v="391716"/>
    <n v="351000"/>
    <n v="40716"/>
    <d v="2013-01-11T00:00:00"/>
    <n v="11"/>
    <s v=" November "/>
    <x v="1"/>
    <n v="0"/>
    <n v="0.1039426523297491"/>
    <n v="0.8960573476702509"/>
    <n v="0.07526881720430108"/>
    <n v="279"/>
    <n v="29"/>
    <x v="0"/>
  </r>
  <r>
    <x v="2"/>
    <x v="3"/>
    <x v="2"/>
    <x v="2"/>
    <n v="2763"/>
    <n v="10"/>
    <n v="12"/>
    <n v="33156"/>
    <n v="2320.92"/>
    <n v="30835.08"/>
    <n v="8289"/>
    <n v="22546.08"/>
    <d v="2013-01-11T00:00:00"/>
    <n v="11"/>
    <s v=" November "/>
    <x v="1"/>
    <n v="0"/>
    <n v="0.7311827956989247"/>
    <n v="0.2688172043010753"/>
    <n v="0.07526881720430108"/>
    <n v="11.16"/>
    <n v="8.16"/>
    <x v="0"/>
  </r>
  <r>
    <x v="0"/>
    <x v="1"/>
    <x v="2"/>
    <x v="2"/>
    <n v="2125"/>
    <n v="10"/>
    <n v="7"/>
    <n v="14875"/>
    <n v="1041.25"/>
    <n v="13833.75"/>
    <n v="10625"/>
    <n v="3208.75"/>
    <d v="2013-01-12T00:00:00"/>
    <n v="12"/>
    <s v=" December "/>
    <x v="1"/>
    <n v="0"/>
    <n v="0.2319508448540707"/>
    <n v="0.7680491551459293"/>
    <n v="0.07526881720430108"/>
    <n v="6.51"/>
    <n v="1.51"/>
    <x v="0"/>
  </r>
  <r>
    <x v="4"/>
    <x v="2"/>
    <x v="3"/>
    <x v="2"/>
    <n v="1659"/>
    <n v="120"/>
    <n v="300"/>
    <n v="497700"/>
    <n v="34839"/>
    <n v="462861"/>
    <n v="414750"/>
    <n v="48111"/>
    <d v="2014-01-07T00:00:00"/>
    <n v="7"/>
    <s v=" July "/>
    <x v="0"/>
    <n v="0"/>
    <n v="0.1039426523297491"/>
    <n v="0.8960573476702509"/>
    <n v="0.07526881720430108"/>
    <n v="279"/>
    <n v="29"/>
    <x v="0"/>
  </r>
  <r>
    <x v="0"/>
    <x v="3"/>
    <x v="3"/>
    <x v="2"/>
    <n v="609"/>
    <n v="120"/>
    <n v="20"/>
    <n v="12180"/>
    <n v="852.6"/>
    <n v="11327.4"/>
    <n v="6090"/>
    <n v="5237.4"/>
    <d v="2014-01-08T00:00:00"/>
    <n v="8"/>
    <s v=" August "/>
    <x v="0"/>
    <n v="0"/>
    <n v="0.4623655913978494"/>
    <n v="0.5376344086021505"/>
    <n v="0.07526881720430108"/>
    <n v="18.6"/>
    <n v="8.6"/>
    <x v="0"/>
  </r>
  <r>
    <x v="3"/>
    <x v="1"/>
    <x v="3"/>
    <x v="2"/>
    <n v="2087"/>
    <n v="120"/>
    <n v="125"/>
    <n v="260875"/>
    <n v="18261.25"/>
    <n v="242613.75"/>
    <n v="250440"/>
    <n v="-7826.25"/>
    <d v="2014-01-09T00:00:00"/>
    <n v="9"/>
    <s v=" September "/>
    <x v="0"/>
    <n v="0"/>
    <n v="-0.03225806451612903"/>
    <n v="1.032258064516129"/>
    <n v="0.07526881720430108"/>
    <n v="116.25"/>
    <n v="-3.75"/>
    <x v="1"/>
  </r>
  <r>
    <x v="0"/>
    <x v="2"/>
    <x v="3"/>
    <x v="2"/>
    <n v="1976"/>
    <n v="120"/>
    <n v="20"/>
    <n v="39520"/>
    <n v="2766.4"/>
    <n v="36753.6"/>
    <n v="19760"/>
    <n v="16993.6"/>
    <d v="2014-01-10T00:00:00"/>
    <n v="10"/>
    <s v=" October "/>
    <x v="0"/>
    <n v="0"/>
    <n v="0.4623655913978494"/>
    <n v="0.5376344086021505"/>
    <n v="0.07526881720430108"/>
    <n v="18.6"/>
    <n v="8.6"/>
    <x v="0"/>
  </r>
  <r>
    <x v="0"/>
    <x v="4"/>
    <x v="3"/>
    <x v="2"/>
    <n v="1421"/>
    <n v="120"/>
    <n v="20"/>
    <n v="28420"/>
    <n v="1989.4"/>
    <n v="26430.6"/>
    <n v="14210"/>
    <n v="12220.6"/>
    <d v="2013-01-12T00:00:00"/>
    <n v="12"/>
    <s v=" December "/>
    <x v="1"/>
    <n v="0"/>
    <n v="0.4623655913978495"/>
    <n v="0.5376344086021506"/>
    <n v="0.07526881720430108"/>
    <n v="18.6"/>
    <n v="8.6"/>
    <x v="0"/>
  </r>
  <r>
    <x v="4"/>
    <x v="4"/>
    <x v="3"/>
    <x v="2"/>
    <n v="1372"/>
    <n v="120"/>
    <n v="300"/>
    <n v="411600"/>
    <n v="28812"/>
    <n v="382788"/>
    <n v="343000"/>
    <n v="39788"/>
    <d v="2014-01-12T00:00:00"/>
    <n v="12"/>
    <s v=" December "/>
    <x v="0"/>
    <n v="0"/>
    <n v="0.1039426523297491"/>
    <n v="0.8960573476702509"/>
    <n v="0.07526881720430108"/>
    <n v="279"/>
    <n v="29"/>
    <x v="0"/>
  </r>
  <r>
    <x v="0"/>
    <x v="1"/>
    <x v="3"/>
    <x v="2"/>
    <n v="588"/>
    <n v="120"/>
    <n v="20"/>
    <n v="11760"/>
    <n v="823.2"/>
    <n v="10936.8"/>
    <n v="5880"/>
    <n v="5056.8"/>
    <d v="2013-01-12T00:00:00"/>
    <n v="12"/>
    <s v=" December "/>
    <x v="1"/>
    <n v="0"/>
    <n v="0.4623655913978495"/>
    <n v="0.5376344086021506"/>
    <n v="0.07526881720430108"/>
    <n v="18.6"/>
    <n v="8.6"/>
    <x v="0"/>
  </r>
  <r>
    <x v="2"/>
    <x v="0"/>
    <x v="4"/>
    <x v="2"/>
    <n v="3244.5"/>
    <n v="250"/>
    <n v="12"/>
    <n v="38934"/>
    <n v="2725.38"/>
    <n v="36208.62"/>
    <n v="9733.5"/>
    <n v="26475.12"/>
    <d v="2014-01-01T00:00:00"/>
    <n v="1"/>
    <s v=" January "/>
    <x v="0"/>
    <n v="1"/>
    <n v="0.7311827956989246"/>
    <n v="0.2688172043010753"/>
    <n v="0.07526881720430108"/>
    <n v="11.16"/>
    <n v="8.16"/>
    <x v="0"/>
  </r>
  <r>
    <x v="4"/>
    <x v="2"/>
    <x v="4"/>
    <x v="2"/>
    <n v="959"/>
    <n v="250"/>
    <n v="300"/>
    <n v="287700"/>
    <n v="20139"/>
    <n v="267561"/>
    <n v="239750"/>
    <n v="27811"/>
    <d v="2014-01-02T00:00:00"/>
    <n v="2"/>
    <s v=" February "/>
    <x v="0"/>
    <n v="0"/>
    <n v="0.1039426523297491"/>
    <n v="0.8960573476702509"/>
    <n v="0.07526881720430108"/>
    <n v="279"/>
    <n v="29"/>
    <x v="0"/>
  </r>
  <r>
    <x v="4"/>
    <x v="3"/>
    <x v="4"/>
    <x v="2"/>
    <n v="2747"/>
    <n v="250"/>
    <n v="300"/>
    <n v="824100"/>
    <n v="57687"/>
    <n v="766413"/>
    <n v="686750"/>
    <n v="79663"/>
    <d v="2014-01-02T00:00:00"/>
    <n v="2"/>
    <s v=" February "/>
    <x v="0"/>
    <n v="0"/>
    <n v="0.1039426523297491"/>
    <n v="0.8960573476702509"/>
    <n v="0.07526881720430108"/>
    <n v="279"/>
    <n v="29"/>
    <x v="0"/>
  </r>
  <r>
    <x v="3"/>
    <x v="0"/>
    <x v="5"/>
    <x v="2"/>
    <n v="1645"/>
    <n v="260"/>
    <n v="125"/>
    <n v="205625"/>
    <n v="14393.75"/>
    <n v="191231.25"/>
    <n v="197400"/>
    <n v="-6168.75"/>
    <d v="2014-01-05T00:00:00"/>
    <n v="5"/>
    <s v=" May "/>
    <x v="0"/>
    <n v="0"/>
    <n v="-0.03225806451612903"/>
    <n v="1.032258064516129"/>
    <n v="0.07526881720430108"/>
    <n v="116.25"/>
    <n v="-3.75"/>
    <x v="1"/>
  </r>
  <r>
    <x v="0"/>
    <x v="2"/>
    <x v="5"/>
    <x v="2"/>
    <n v="2876"/>
    <n v="260"/>
    <n v="350"/>
    <n v="1006600"/>
    <n v="70462"/>
    <n v="936138"/>
    <n v="747760"/>
    <n v="188378"/>
    <d v="2014-01-09T00:00:00"/>
    <n v="9"/>
    <s v=" September "/>
    <x v="0"/>
    <n v="0"/>
    <n v="0.2012288786482335"/>
    <n v="0.7987711213517665"/>
    <n v="0.07526881720430108"/>
    <n v="325.5"/>
    <n v="65.5"/>
    <x v="0"/>
  </r>
  <r>
    <x v="3"/>
    <x v="1"/>
    <x v="5"/>
    <x v="2"/>
    <n v="994"/>
    <n v="260"/>
    <n v="125"/>
    <n v="124250"/>
    <n v="8697.5"/>
    <n v="115552.5"/>
    <n v="119280"/>
    <n v="-3727.5"/>
    <d v="2013-01-09T00:00:00"/>
    <n v="9"/>
    <s v=" September "/>
    <x v="1"/>
    <n v="0"/>
    <n v="-0.03225806451612903"/>
    <n v="1.032258064516129"/>
    <n v="0.07526881720430108"/>
    <n v="116.25"/>
    <n v="-3.75"/>
    <x v="1"/>
  </r>
  <r>
    <x v="0"/>
    <x v="0"/>
    <x v="5"/>
    <x v="2"/>
    <n v="1118"/>
    <n v="260"/>
    <n v="20"/>
    <n v="22360"/>
    <n v="1565.2"/>
    <n v="20794.8"/>
    <n v="11180"/>
    <n v="9614.799999999999"/>
    <d v="2014-01-11T00:00:00"/>
    <n v="11"/>
    <s v=" November "/>
    <x v="0"/>
    <n v="0"/>
    <n v="0.4623655913978494"/>
    <n v="0.5376344086021505"/>
    <n v="0.07526881720430108"/>
    <n v="18.6"/>
    <n v="8.6"/>
    <x v="0"/>
  </r>
  <r>
    <x v="4"/>
    <x v="4"/>
    <x v="5"/>
    <x v="2"/>
    <n v="1372"/>
    <n v="260"/>
    <n v="300"/>
    <n v="411600"/>
    <n v="28812"/>
    <n v="382788"/>
    <n v="343000"/>
    <n v="39788"/>
    <d v="2014-01-12T00:00:00"/>
    <n v="12"/>
    <s v=" December "/>
    <x v="0"/>
    <n v="0"/>
    <n v="0.1039426523297491"/>
    <n v="0.8960573476702509"/>
    <n v="0.07526881720430108"/>
    <n v="279"/>
    <n v="29"/>
    <x v="0"/>
  </r>
  <r>
    <x v="0"/>
    <x v="0"/>
    <x v="1"/>
    <x v="2"/>
    <n v="488"/>
    <n v="5"/>
    <n v="7"/>
    <n v="3416"/>
    <n v="273.28"/>
    <n v="3142.72"/>
    <n v="2440"/>
    <n v="702.72"/>
    <d v="2014-01-02T00:00:00"/>
    <n v="2"/>
    <s v=" February "/>
    <x v="0"/>
    <n v="0"/>
    <n v="0.2236024844720497"/>
    <n v="0.7763975155279503"/>
    <n v="0.08695652173913043"/>
    <n v="6.44"/>
    <n v="1.44"/>
    <x v="0"/>
  </r>
  <r>
    <x v="0"/>
    <x v="4"/>
    <x v="1"/>
    <x v="2"/>
    <n v="1282"/>
    <n v="5"/>
    <n v="20"/>
    <n v="25640"/>
    <n v="2051.2"/>
    <n v="23588.8"/>
    <n v="12820"/>
    <n v="10768.8"/>
    <d v="2014-01-06T00:00:00"/>
    <n v="6"/>
    <s v=" June "/>
    <x v="0"/>
    <n v="0"/>
    <n v="0.4565217391304348"/>
    <n v="0.5434782608695652"/>
    <n v="0.08695652173913043"/>
    <n v="18.4"/>
    <n v="8.399999999999999"/>
    <x v="0"/>
  </r>
  <r>
    <x v="0"/>
    <x v="0"/>
    <x v="2"/>
    <x v="2"/>
    <n v="257"/>
    <n v="10"/>
    <n v="7"/>
    <n v="1799"/>
    <n v="143.92"/>
    <n v="1655.08"/>
    <n v="1285"/>
    <n v="370.08"/>
    <d v="2014-01-05T00:00:00"/>
    <n v="5"/>
    <s v=" May "/>
    <x v="0"/>
    <n v="0"/>
    <n v="0.2236024844720497"/>
    <n v="0.7763975155279503"/>
    <n v="0.08695652173913043"/>
    <n v="6.44"/>
    <n v="1.44"/>
    <x v="0"/>
  </r>
  <r>
    <x v="0"/>
    <x v="4"/>
    <x v="5"/>
    <x v="2"/>
    <n v="1282"/>
    <n v="260"/>
    <n v="20"/>
    <n v="25640"/>
    <n v="2051.2"/>
    <n v="23588.8"/>
    <n v="12820"/>
    <n v="10768.8"/>
    <d v="2014-01-06T00:00:00"/>
    <n v="6"/>
    <s v=" June "/>
    <x v="0"/>
    <n v="0"/>
    <n v="0.4565217391304348"/>
    <n v="0.5434782608695652"/>
    <n v="0.08695652173913043"/>
    <n v="18.4"/>
    <n v="8.399999999999999"/>
    <x v="0"/>
  </r>
  <r>
    <x v="3"/>
    <x v="3"/>
    <x v="0"/>
    <x v="2"/>
    <n v="1540"/>
    <n v="3"/>
    <n v="125"/>
    <n v="192500"/>
    <n v="15400"/>
    <n v="177100"/>
    <n v="184800"/>
    <n v="-7700"/>
    <d v="2014-01-08T00:00:00"/>
    <n v="8"/>
    <s v=" August "/>
    <x v="0"/>
    <n v="0"/>
    <n v="-0.04347826086956522"/>
    <n v="1.043478260869565"/>
    <n v="0.08695652173913043"/>
    <n v="115"/>
    <n v="-5"/>
    <x v="1"/>
  </r>
  <r>
    <x v="1"/>
    <x v="2"/>
    <x v="0"/>
    <x v="2"/>
    <n v="490"/>
    <n v="3"/>
    <n v="15"/>
    <n v="7350"/>
    <n v="588"/>
    <n v="6762"/>
    <n v="4900"/>
    <n v="1862"/>
    <d v="2014-01-11T00:00:00"/>
    <n v="11"/>
    <s v=" November "/>
    <x v="0"/>
    <n v="0"/>
    <n v="0.2753623188405797"/>
    <n v="0.7246376811594203"/>
    <n v="0.08695652173913043"/>
    <n v="13.8"/>
    <n v="3.8"/>
    <x v="0"/>
  </r>
  <r>
    <x v="0"/>
    <x v="3"/>
    <x v="0"/>
    <x v="2"/>
    <n v="1362"/>
    <n v="3"/>
    <n v="350"/>
    <n v="476700"/>
    <n v="38136"/>
    <n v="438564"/>
    <n v="354120"/>
    <n v="84444"/>
    <d v="2014-01-12T00:00:00"/>
    <n v="12"/>
    <s v=" December "/>
    <x v="0"/>
    <n v="0"/>
    <n v="0.1925465838509317"/>
    <n v="0.8074534161490683"/>
    <n v="0.08695652173913043"/>
    <n v="322"/>
    <n v="62"/>
    <x v="0"/>
  </r>
  <r>
    <x v="1"/>
    <x v="2"/>
    <x v="1"/>
    <x v="2"/>
    <n v="2501"/>
    <n v="5"/>
    <n v="15"/>
    <n v="37515"/>
    <n v="3001.2"/>
    <n v="34513.8"/>
    <n v="25010"/>
    <n v="9503.799999999999"/>
    <d v="2014-01-03T00:00:00"/>
    <n v="3"/>
    <s v=" March "/>
    <x v="0"/>
    <n v="0"/>
    <n v="0.2753623188405797"/>
    <n v="0.7246376811594202"/>
    <n v="0.08695652173913042"/>
    <n v="13.8"/>
    <n v="3.8"/>
    <x v="0"/>
  </r>
  <r>
    <x v="0"/>
    <x v="0"/>
    <x v="1"/>
    <x v="2"/>
    <n v="708"/>
    <n v="5"/>
    <n v="20"/>
    <n v="14160"/>
    <n v="1132.8"/>
    <n v="13027.2"/>
    <n v="7080"/>
    <n v="5947.2"/>
    <d v="2014-01-06T00:00:00"/>
    <n v="6"/>
    <s v=" June "/>
    <x v="0"/>
    <n v="0"/>
    <n v="0.4565217391304348"/>
    <n v="0.5434782608695652"/>
    <n v="0.08695652173913043"/>
    <n v="18.4"/>
    <n v="8.4"/>
    <x v="0"/>
  </r>
  <r>
    <x v="0"/>
    <x v="1"/>
    <x v="1"/>
    <x v="2"/>
    <n v="645"/>
    <n v="5"/>
    <n v="20"/>
    <n v="12900"/>
    <n v="1032"/>
    <n v="11868"/>
    <n v="6450"/>
    <n v="5418"/>
    <d v="2014-01-07T00:00:00"/>
    <n v="7"/>
    <s v=" July "/>
    <x v="0"/>
    <n v="0"/>
    <n v="0.4565217391304348"/>
    <n v="0.5434782608695652"/>
    <n v="0.08695652173913043"/>
    <n v="18.4"/>
    <n v="8.4"/>
    <x v="0"/>
  </r>
  <r>
    <x v="4"/>
    <x v="2"/>
    <x v="1"/>
    <x v="2"/>
    <n v="1562"/>
    <n v="5"/>
    <n v="300"/>
    <n v="468600"/>
    <n v="37488"/>
    <n v="431112"/>
    <n v="390500"/>
    <n v="40612"/>
    <d v="2014-01-08T00:00:00"/>
    <n v="8"/>
    <s v=" August "/>
    <x v="0"/>
    <n v="0"/>
    <n v="0.09420289855072464"/>
    <n v="0.9057971014492754"/>
    <n v="0.08695652173913043"/>
    <n v="276"/>
    <n v="26"/>
    <x v="0"/>
  </r>
  <r>
    <x v="4"/>
    <x v="0"/>
    <x v="1"/>
    <x v="2"/>
    <n v="1283"/>
    <n v="5"/>
    <n v="300"/>
    <n v="384900"/>
    <n v="30792"/>
    <n v="354108"/>
    <n v="320750"/>
    <n v="33358"/>
    <d v="2013-01-09T00:00:00"/>
    <n v="9"/>
    <s v=" September "/>
    <x v="1"/>
    <n v="0"/>
    <n v="0.09420289855072464"/>
    <n v="0.9057971014492754"/>
    <n v="0.08695652173913043"/>
    <n v="276"/>
    <n v="26"/>
    <x v="0"/>
  </r>
  <r>
    <x v="1"/>
    <x v="1"/>
    <x v="1"/>
    <x v="2"/>
    <n v="711"/>
    <n v="5"/>
    <n v="15"/>
    <n v="10665"/>
    <n v="853.2"/>
    <n v="9811.799999999999"/>
    <n v="7110"/>
    <n v="2701.8"/>
    <d v="2014-01-12T00:00:00"/>
    <n v="12"/>
    <s v=" December "/>
    <x v="0"/>
    <n v="0"/>
    <n v="0.2753623188405798"/>
    <n v="0.7246376811594203"/>
    <n v="0.08695652173913045"/>
    <n v="13.8"/>
    <n v="3.8"/>
    <x v="0"/>
  </r>
  <r>
    <x v="3"/>
    <x v="3"/>
    <x v="2"/>
    <x v="2"/>
    <n v="1114"/>
    <n v="10"/>
    <n v="125"/>
    <n v="139250"/>
    <n v="11140"/>
    <n v="128110"/>
    <n v="133680"/>
    <n v="-5570"/>
    <d v="2014-01-03T00:00:00"/>
    <n v="3"/>
    <s v=" March "/>
    <x v="0"/>
    <n v="0"/>
    <n v="-0.04347826086956522"/>
    <n v="1.043478260869565"/>
    <n v="0.08695652173913043"/>
    <n v="115"/>
    <n v="-5"/>
    <x v="1"/>
  </r>
  <r>
    <x v="0"/>
    <x v="1"/>
    <x v="2"/>
    <x v="2"/>
    <n v="1259"/>
    <n v="10"/>
    <n v="7"/>
    <n v="8813"/>
    <n v="705.04"/>
    <n v="8107.96"/>
    <n v="6295"/>
    <n v="1812.96"/>
    <d v="2014-01-04T00:00:00"/>
    <n v="4"/>
    <s v=" April "/>
    <x v="0"/>
    <n v="0"/>
    <n v="0.2236024844720497"/>
    <n v="0.7763975155279503"/>
    <n v="0.08695652173913043"/>
    <n v="6.44"/>
    <n v="1.44"/>
    <x v="0"/>
  </r>
  <r>
    <x v="0"/>
    <x v="1"/>
    <x v="2"/>
    <x v="2"/>
    <n v="1095"/>
    <n v="10"/>
    <n v="7"/>
    <n v="7665"/>
    <n v="613.2"/>
    <n v="7051.8"/>
    <n v="5475"/>
    <n v="1576.8"/>
    <d v="2014-01-05T00:00:00"/>
    <n v="5"/>
    <s v=" May "/>
    <x v="0"/>
    <n v="0"/>
    <n v="0.2236024844720497"/>
    <n v="0.7763975155279503"/>
    <n v="0.08695652173913043"/>
    <n v="6.44"/>
    <n v="1.44"/>
    <x v="0"/>
  </r>
  <r>
    <x v="0"/>
    <x v="1"/>
    <x v="2"/>
    <x v="2"/>
    <n v="1366"/>
    <n v="10"/>
    <n v="20"/>
    <n v="27320"/>
    <n v="2185.6"/>
    <n v="25134.4"/>
    <n v="13660"/>
    <n v="11474.4"/>
    <d v="2014-01-06T00:00:00"/>
    <n v="6"/>
    <s v=" June "/>
    <x v="0"/>
    <n v="0"/>
    <n v="0.4565217391304348"/>
    <n v="0.5434782608695652"/>
    <n v="0.08695652173913043"/>
    <n v="18.4"/>
    <n v="8.4"/>
    <x v="0"/>
  </r>
  <r>
    <x v="4"/>
    <x v="3"/>
    <x v="2"/>
    <x v="2"/>
    <n v="2460"/>
    <n v="10"/>
    <n v="300"/>
    <n v="738000"/>
    <n v="59040"/>
    <n v="678960"/>
    <n v="615000"/>
    <n v="63960"/>
    <d v="2014-01-06T00:00:00"/>
    <n v="6"/>
    <s v=" June "/>
    <x v="0"/>
    <n v="0"/>
    <n v="0.09420289855072464"/>
    <n v="0.9057971014492754"/>
    <n v="0.08695652173913043"/>
    <n v="276"/>
    <n v="26"/>
    <x v="0"/>
  </r>
  <r>
    <x v="0"/>
    <x v="4"/>
    <x v="2"/>
    <x v="2"/>
    <n v="678"/>
    <n v="10"/>
    <n v="7"/>
    <n v="4746"/>
    <n v="379.68"/>
    <n v="4366.32"/>
    <n v="3390"/>
    <n v="976.3200000000001"/>
    <d v="2014-01-08T00:00:00"/>
    <n v="8"/>
    <s v=" August "/>
    <x v="0"/>
    <n v="0"/>
    <n v="0.2236024844720497"/>
    <n v="0.7763975155279503"/>
    <n v="0.08695652173913045"/>
    <n v="6.44"/>
    <n v="1.44"/>
    <x v="0"/>
  </r>
  <r>
    <x v="0"/>
    <x v="1"/>
    <x v="2"/>
    <x v="2"/>
    <n v="1598"/>
    <n v="10"/>
    <n v="7"/>
    <n v="11186"/>
    <n v="894.88"/>
    <n v="10291.12"/>
    <n v="7990"/>
    <n v="2301.12"/>
    <d v="2014-01-08T00:00:00"/>
    <n v="8"/>
    <s v=" August "/>
    <x v="0"/>
    <n v="0"/>
    <n v="0.2236024844720497"/>
    <n v="0.7763975155279502"/>
    <n v="0.08695652173913043"/>
    <n v="6.44"/>
    <n v="1.44"/>
    <x v="0"/>
  </r>
  <r>
    <x v="0"/>
    <x v="1"/>
    <x v="2"/>
    <x v="2"/>
    <n v="2409"/>
    <n v="10"/>
    <n v="7"/>
    <n v="16863"/>
    <n v="1349.04"/>
    <n v="15513.96"/>
    <n v="12045"/>
    <n v="3468.96"/>
    <d v="2013-01-09T00:00:00"/>
    <n v="9"/>
    <s v=" September "/>
    <x v="1"/>
    <n v="0"/>
    <n v="0.2236024844720497"/>
    <n v="0.7763975155279503"/>
    <n v="0.08695652173913043"/>
    <n v="6.44"/>
    <n v="1.44"/>
    <x v="0"/>
  </r>
  <r>
    <x v="0"/>
    <x v="1"/>
    <x v="2"/>
    <x v="2"/>
    <n v="1934"/>
    <n v="10"/>
    <n v="20"/>
    <n v="38680"/>
    <n v="3094.4"/>
    <n v="35585.6"/>
    <n v="19340"/>
    <n v="16245.6"/>
    <d v="2014-01-09T00:00:00"/>
    <n v="9"/>
    <s v=" September "/>
    <x v="0"/>
    <n v="0"/>
    <n v="0.4565217391304348"/>
    <n v="0.5434782608695652"/>
    <n v="0.08695652173913045"/>
    <n v="18.4"/>
    <n v="8.4"/>
    <x v="0"/>
  </r>
  <r>
    <x v="0"/>
    <x v="3"/>
    <x v="2"/>
    <x v="2"/>
    <n v="2993"/>
    <n v="10"/>
    <n v="20"/>
    <n v="59860"/>
    <n v="4788.8"/>
    <n v="55071.2"/>
    <n v="29930"/>
    <n v="25141.2"/>
    <d v="2014-01-09T00:00:00"/>
    <n v="9"/>
    <s v=" September "/>
    <x v="0"/>
    <n v="0"/>
    <n v="0.4565217391304348"/>
    <n v="0.5434782608695653"/>
    <n v="0.08695652173913045"/>
    <n v="18.4"/>
    <n v="8.4"/>
    <x v="0"/>
  </r>
  <r>
    <x v="0"/>
    <x v="1"/>
    <x v="2"/>
    <x v="2"/>
    <n v="2146"/>
    <n v="10"/>
    <n v="350"/>
    <n v="751100"/>
    <n v="60088"/>
    <n v="691012"/>
    <n v="557960"/>
    <n v="133052"/>
    <d v="2013-01-11T00:00:00"/>
    <n v="11"/>
    <s v=" November "/>
    <x v="1"/>
    <n v="0"/>
    <n v="0.1925465838509317"/>
    <n v="0.8074534161490683"/>
    <n v="0.08695652173913043"/>
    <n v="322"/>
    <n v="62"/>
    <x v="0"/>
  </r>
  <r>
    <x v="0"/>
    <x v="3"/>
    <x v="2"/>
    <x v="2"/>
    <n v="1946"/>
    <n v="10"/>
    <n v="7"/>
    <n v="13622"/>
    <n v="1089.76"/>
    <n v="12532.24"/>
    <n v="9730"/>
    <n v="2802.24"/>
    <d v="2013-01-12T00:00:00"/>
    <n v="12"/>
    <s v=" December "/>
    <x v="1"/>
    <n v="0"/>
    <n v="0.2236024844720497"/>
    <n v="0.7763975155279503"/>
    <n v="0.08695652173913043"/>
    <n v="6.44"/>
    <n v="1.44"/>
    <x v="0"/>
  </r>
  <r>
    <x v="0"/>
    <x v="3"/>
    <x v="2"/>
    <x v="2"/>
    <n v="1362"/>
    <n v="10"/>
    <n v="350"/>
    <n v="476700"/>
    <n v="38136"/>
    <n v="438564"/>
    <n v="354120"/>
    <n v="84444"/>
    <d v="2014-01-12T00:00:00"/>
    <n v="12"/>
    <s v=" December "/>
    <x v="0"/>
    <n v="0"/>
    <n v="0.1925465838509317"/>
    <n v="0.8074534161490683"/>
    <n v="0.08695652173913043"/>
    <n v="322"/>
    <n v="62"/>
    <x v="0"/>
  </r>
  <r>
    <x v="2"/>
    <x v="0"/>
    <x v="3"/>
    <x v="2"/>
    <n v="598"/>
    <n v="120"/>
    <n v="12"/>
    <n v="7176"/>
    <n v="574.08"/>
    <n v="6601.92"/>
    <n v="1794"/>
    <n v="4807.92"/>
    <d v="2014-01-03T00:00:00"/>
    <n v="3"/>
    <s v=" March "/>
    <x v="0"/>
    <n v="0"/>
    <n v="0.7282608695652174"/>
    <n v="0.2717391304347826"/>
    <n v="0.08695652173913045"/>
    <n v="11.04"/>
    <n v="8.040000000000001"/>
    <x v="0"/>
  </r>
  <r>
    <x v="0"/>
    <x v="4"/>
    <x v="3"/>
    <x v="2"/>
    <n v="2907"/>
    <n v="120"/>
    <n v="7"/>
    <n v="20349"/>
    <n v="1627.92"/>
    <n v="18721.08"/>
    <n v="14535"/>
    <n v="4186.08"/>
    <d v="2014-01-06T00:00:00"/>
    <n v="6"/>
    <s v=" June "/>
    <x v="0"/>
    <n v="0"/>
    <n v="0.2236024844720497"/>
    <n v="0.7763975155279502"/>
    <n v="0.08695652173913043"/>
    <n v="6.44"/>
    <n v="1.44"/>
    <x v="0"/>
  </r>
  <r>
    <x v="0"/>
    <x v="1"/>
    <x v="3"/>
    <x v="2"/>
    <n v="2338"/>
    <n v="120"/>
    <n v="7"/>
    <n v="16366"/>
    <n v="1309.28"/>
    <n v="15056.72"/>
    <n v="11690"/>
    <n v="3366.72"/>
    <d v="2014-01-06T00:00:00"/>
    <n v="6"/>
    <s v=" June "/>
    <x v="0"/>
    <n v="0"/>
    <n v="0.2236024844720497"/>
    <n v="0.7763975155279503"/>
    <n v="0.08695652173913043"/>
    <n v="6.44"/>
    <n v="1.44"/>
    <x v="0"/>
  </r>
  <r>
    <x v="4"/>
    <x v="2"/>
    <x v="3"/>
    <x v="2"/>
    <n v="386"/>
    <n v="120"/>
    <n v="300"/>
    <n v="115800"/>
    <n v="9264"/>
    <n v="106536"/>
    <n v="96500"/>
    <n v="10036"/>
    <d v="2013-01-11T00:00:00"/>
    <n v="11"/>
    <s v=" November "/>
    <x v="1"/>
    <n v="0"/>
    <n v="0.09420289855072464"/>
    <n v="0.9057971014492754"/>
    <n v="0.08695652173913043"/>
    <n v="276"/>
    <n v="26"/>
    <x v="0"/>
  </r>
  <r>
    <x v="4"/>
    <x v="3"/>
    <x v="3"/>
    <x v="2"/>
    <n v="635"/>
    <n v="120"/>
    <n v="300"/>
    <n v="190500"/>
    <n v="15240"/>
    <n v="175260"/>
    <n v="158750"/>
    <n v="16510"/>
    <d v="2014-01-12T00:00:00"/>
    <n v="12"/>
    <s v=" December "/>
    <x v="0"/>
    <n v="0"/>
    <n v="0.09420289855072464"/>
    <n v="0.9057971014492754"/>
    <n v="0.08695652173913043"/>
    <n v="276"/>
    <n v="26"/>
    <x v="0"/>
  </r>
  <r>
    <x v="0"/>
    <x v="2"/>
    <x v="4"/>
    <x v="2"/>
    <n v="574.5"/>
    <n v="250"/>
    <n v="350"/>
    <n v="201075"/>
    <n v="16086"/>
    <n v="184989"/>
    <n v="149370"/>
    <n v="35619"/>
    <d v="2014-01-04T00:00:00"/>
    <n v="4"/>
    <s v=" April "/>
    <x v="0"/>
    <n v="1"/>
    <n v="0.1925465838509317"/>
    <n v="0.8074534161490683"/>
    <n v="0.08695652173913043"/>
    <n v="322"/>
    <n v="62"/>
    <x v="0"/>
  </r>
  <r>
    <x v="0"/>
    <x v="1"/>
    <x v="4"/>
    <x v="2"/>
    <n v="2338"/>
    <n v="250"/>
    <n v="7"/>
    <n v="16366"/>
    <n v="1309.28"/>
    <n v="15056.72"/>
    <n v="11690"/>
    <n v="3366.72"/>
    <d v="2014-01-06T00:00:00"/>
    <n v="6"/>
    <s v=" June "/>
    <x v="0"/>
    <n v="0"/>
    <n v="0.2236024844720497"/>
    <n v="0.7763975155279503"/>
    <n v="0.08695652173913043"/>
    <n v="6.44"/>
    <n v="1.44"/>
    <x v="0"/>
  </r>
  <r>
    <x v="0"/>
    <x v="2"/>
    <x v="4"/>
    <x v="2"/>
    <n v="381"/>
    <n v="250"/>
    <n v="350"/>
    <n v="133350"/>
    <n v="10668"/>
    <n v="122682"/>
    <n v="99060"/>
    <n v="23622"/>
    <d v="2014-01-08T00:00:00"/>
    <n v="8"/>
    <s v=" August "/>
    <x v="0"/>
    <n v="0"/>
    <n v="0.1925465838509317"/>
    <n v="0.8074534161490683"/>
    <n v="0.08695652173913043"/>
    <n v="322"/>
    <n v="62"/>
    <x v="0"/>
  </r>
  <r>
    <x v="0"/>
    <x v="1"/>
    <x v="4"/>
    <x v="2"/>
    <n v="422"/>
    <n v="250"/>
    <n v="350"/>
    <n v="147700"/>
    <n v="11816"/>
    <n v="135884"/>
    <n v="109720"/>
    <n v="26164"/>
    <d v="2014-01-08T00:00:00"/>
    <n v="8"/>
    <s v=" August "/>
    <x v="0"/>
    <n v="0"/>
    <n v="0.1925465838509317"/>
    <n v="0.8074534161490683"/>
    <n v="0.08695652173913043"/>
    <n v="322"/>
    <n v="62"/>
    <x v="0"/>
  </r>
  <r>
    <x v="4"/>
    <x v="0"/>
    <x v="4"/>
    <x v="2"/>
    <n v="2134"/>
    <n v="250"/>
    <n v="300"/>
    <n v="640200"/>
    <n v="51216"/>
    <n v="588984"/>
    <n v="533500"/>
    <n v="55484"/>
    <d v="2014-01-09T00:00:00"/>
    <n v="9"/>
    <s v=" September "/>
    <x v="0"/>
    <n v="0"/>
    <n v="0.09420289855072464"/>
    <n v="0.9057971014492754"/>
    <n v="0.08695652173913043"/>
    <n v="276"/>
    <n v="26"/>
    <x v="0"/>
  </r>
  <r>
    <x v="4"/>
    <x v="4"/>
    <x v="4"/>
    <x v="2"/>
    <n v="808"/>
    <n v="250"/>
    <n v="300"/>
    <n v="242400"/>
    <n v="19392"/>
    <n v="223008"/>
    <n v="202000"/>
    <n v="21008"/>
    <d v="2013-01-12T00:00:00"/>
    <n v="12"/>
    <s v=" December "/>
    <x v="1"/>
    <n v="0"/>
    <n v="0.09420289855072464"/>
    <n v="0.9057971014492754"/>
    <n v="0.08695652173913043"/>
    <n v="276"/>
    <n v="26"/>
    <x v="0"/>
  </r>
  <r>
    <x v="0"/>
    <x v="0"/>
    <x v="5"/>
    <x v="2"/>
    <n v="708"/>
    <n v="260"/>
    <n v="20"/>
    <n v="14160"/>
    <n v="1132.8"/>
    <n v="13027.2"/>
    <n v="7080"/>
    <n v="5947.2"/>
    <d v="2014-01-06T00:00:00"/>
    <n v="6"/>
    <s v=" June "/>
    <x v="0"/>
    <n v="0"/>
    <n v="0.4565217391304348"/>
    <n v="0.5434782608695652"/>
    <n v="0.08695652173913043"/>
    <n v="18.4"/>
    <n v="8.4"/>
    <x v="0"/>
  </r>
  <r>
    <x v="0"/>
    <x v="4"/>
    <x v="5"/>
    <x v="2"/>
    <n v="2907"/>
    <n v="260"/>
    <n v="7"/>
    <n v="20349"/>
    <n v="1627.92"/>
    <n v="18721.08"/>
    <n v="14535"/>
    <n v="4186.08"/>
    <d v="2014-01-06T00:00:00"/>
    <n v="6"/>
    <s v=" June "/>
    <x v="0"/>
    <n v="0"/>
    <n v="0.2236024844720497"/>
    <n v="0.7763975155279502"/>
    <n v="0.08695652173913043"/>
    <n v="6.44"/>
    <n v="1.44"/>
    <x v="0"/>
  </r>
  <r>
    <x v="0"/>
    <x v="1"/>
    <x v="5"/>
    <x v="2"/>
    <n v="1366"/>
    <n v="260"/>
    <n v="20"/>
    <n v="27320"/>
    <n v="2185.6"/>
    <n v="25134.4"/>
    <n v="13660"/>
    <n v="11474.4"/>
    <d v="2014-01-06T00:00:00"/>
    <n v="6"/>
    <s v=" June "/>
    <x v="0"/>
    <n v="0"/>
    <n v="0.4565217391304348"/>
    <n v="0.5434782608695652"/>
    <n v="0.08695652173913043"/>
    <n v="18.4"/>
    <n v="8.4"/>
    <x v="0"/>
  </r>
  <r>
    <x v="4"/>
    <x v="3"/>
    <x v="5"/>
    <x v="2"/>
    <n v="2460"/>
    <n v="260"/>
    <n v="300"/>
    <n v="738000"/>
    <n v="59040"/>
    <n v="678960"/>
    <n v="615000"/>
    <n v="63960"/>
    <d v="2014-01-06T00:00:00"/>
    <n v="6"/>
    <s v=" June "/>
    <x v="0"/>
    <n v="0"/>
    <n v="0.09420289855072464"/>
    <n v="0.9057971014492754"/>
    <n v="0.08695652173913043"/>
    <n v="276"/>
    <n v="26"/>
    <x v="0"/>
  </r>
  <r>
    <x v="0"/>
    <x v="1"/>
    <x v="5"/>
    <x v="2"/>
    <n v="1520"/>
    <n v="260"/>
    <n v="20"/>
    <n v="30400"/>
    <n v="2432"/>
    <n v="27968"/>
    <n v="15200"/>
    <n v="12768"/>
    <d v="2014-01-11T00:00:00"/>
    <n v="11"/>
    <s v=" November "/>
    <x v="0"/>
    <n v="0"/>
    <n v="0.4565217391304348"/>
    <n v="0.5434782608695652"/>
    <n v="0.08695652173913043"/>
    <n v="18.4"/>
    <n v="8.4"/>
    <x v="0"/>
  </r>
  <r>
    <x v="1"/>
    <x v="1"/>
    <x v="5"/>
    <x v="2"/>
    <n v="711"/>
    <n v="260"/>
    <n v="15"/>
    <n v="10665"/>
    <n v="853.2"/>
    <n v="9811.799999999999"/>
    <n v="7110"/>
    <n v="2701.8"/>
    <d v="2014-01-12T00:00:00"/>
    <n v="12"/>
    <s v=" December "/>
    <x v="0"/>
    <n v="0"/>
    <n v="0.2753623188405798"/>
    <n v="0.7246376811594203"/>
    <n v="0.08695652173913045"/>
    <n v="13.8"/>
    <n v="3.8"/>
    <x v="0"/>
  </r>
  <r>
    <x v="2"/>
    <x v="3"/>
    <x v="5"/>
    <x v="2"/>
    <n v="1375"/>
    <n v="260"/>
    <n v="12"/>
    <n v="16500"/>
    <n v="1320"/>
    <n v="15180"/>
    <n v="4125"/>
    <n v="11055"/>
    <d v="2013-01-12T00:00:00"/>
    <n v="12"/>
    <s v=" December "/>
    <x v="1"/>
    <n v="0"/>
    <n v="0.7282608695652174"/>
    <n v="0.2717391304347826"/>
    <n v="0.08695652173913043"/>
    <n v="11.04"/>
    <n v="8.039999999999999"/>
    <x v="0"/>
  </r>
  <r>
    <x v="4"/>
    <x v="3"/>
    <x v="5"/>
    <x v="2"/>
    <n v="635"/>
    <n v="260"/>
    <n v="300"/>
    <n v="190500"/>
    <n v="15240"/>
    <n v="175260"/>
    <n v="158750"/>
    <n v="16510"/>
    <d v="2014-01-12T00:00:00"/>
    <n v="12"/>
    <s v=" December "/>
    <x v="0"/>
    <n v="0"/>
    <n v="0.09420289855072464"/>
    <n v="0.9057971014492754"/>
    <n v="0.08695652173913043"/>
    <n v="276"/>
    <n v="26"/>
    <x v="0"/>
  </r>
  <r>
    <x v="0"/>
    <x v="4"/>
    <x v="4"/>
    <x v="2"/>
    <n v="436.5"/>
    <n v="250"/>
    <n v="20"/>
    <n v="8730"/>
    <n v="698.4"/>
    <n v="8031.6"/>
    <n v="4365"/>
    <n v="3666.6"/>
    <d v="2014-01-07T00:00:00"/>
    <n v="7"/>
    <s v=" July "/>
    <x v="0"/>
    <n v="1"/>
    <n v="0.4565217391304348"/>
    <n v="0.5434782608695652"/>
    <n v="0.08695652173913043"/>
    <n v="18.4"/>
    <n v="8.4"/>
    <x v="0"/>
  </r>
  <r>
    <x v="4"/>
    <x v="0"/>
    <x v="0"/>
    <x v="2"/>
    <n v="1094"/>
    <n v="3"/>
    <n v="300"/>
    <n v="328200"/>
    <n v="29538"/>
    <n v="298662"/>
    <n v="273500"/>
    <n v="25162"/>
    <d v="2014-01-06T00:00:00"/>
    <n v="6"/>
    <s v=" June "/>
    <x v="0"/>
    <n v="0"/>
    <n v="0.08424908424908426"/>
    <n v="0.9157509157509157"/>
    <n v="0.0989010989010989"/>
    <n v="273"/>
    <n v="23"/>
    <x v="0"/>
  </r>
  <r>
    <x v="2"/>
    <x v="3"/>
    <x v="0"/>
    <x v="2"/>
    <n v="367"/>
    <n v="3"/>
    <n v="12"/>
    <n v="4404"/>
    <n v="396.36"/>
    <n v="4007.64"/>
    <n v="1101"/>
    <n v="2906.64"/>
    <d v="2013-01-10T00:00:00"/>
    <n v="10"/>
    <s v=" October "/>
    <x v="1"/>
    <n v="0"/>
    <n v="0.7252747252747253"/>
    <n v="0.2747252747252747"/>
    <n v="0.09890109890109891"/>
    <n v="10.92"/>
    <n v="7.92"/>
    <x v="0"/>
  </r>
  <r>
    <x v="4"/>
    <x v="0"/>
    <x v="1"/>
    <x v="2"/>
    <n v="3802.5"/>
    <n v="5"/>
    <n v="300"/>
    <n v="1140750"/>
    <n v="102667.5"/>
    <n v="1038082.5"/>
    <n v="950625"/>
    <n v="87457.5"/>
    <d v="2014-01-04T00:00:00"/>
    <n v="4"/>
    <s v=" April "/>
    <x v="0"/>
    <n v="1"/>
    <n v="0.08424908424908426"/>
    <n v="0.9157509157509157"/>
    <n v="0.0989010989010989"/>
    <n v="273"/>
    <n v="23"/>
    <x v="0"/>
  </r>
  <r>
    <x v="0"/>
    <x v="2"/>
    <x v="1"/>
    <x v="2"/>
    <n v="1666"/>
    <n v="5"/>
    <n v="350"/>
    <n v="583100"/>
    <n v="52479"/>
    <n v="530621"/>
    <n v="433160"/>
    <n v="97461"/>
    <d v="2014-01-05T00:00:00"/>
    <n v="5"/>
    <s v=" May "/>
    <x v="0"/>
    <n v="0"/>
    <n v="0.1836734693877551"/>
    <n v="0.8163265306122449"/>
    <n v="0.0989010989010989"/>
    <n v="318.5"/>
    <n v="58.5"/>
    <x v="0"/>
  </r>
  <r>
    <x v="4"/>
    <x v="2"/>
    <x v="1"/>
    <x v="2"/>
    <n v="322"/>
    <n v="5"/>
    <n v="300"/>
    <n v="96600"/>
    <n v="8694"/>
    <n v="87906"/>
    <n v="80500"/>
    <n v="7406"/>
    <d v="2013-01-09T00:00:00"/>
    <n v="9"/>
    <s v=" September "/>
    <x v="1"/>
    <n v="0"/>
    <n v="0.08424908424908426"/>
    <n v="0.9157509157509157"/>
    <n v="0.0989010989010989"/>
    <n v="273"/>
    <n v="23"/>
    <x v="0"/>
  </r>
  <r>
    <x v="2"/>
    <x v="0"/>
    <x v="1"/>
    <x v="2"/>
    <n v="2321"/>
    <n v="5"/>
    <n v="12"/>
    <n v="27852"/>
    <n v="2506.68"/>
    <n v="25345.32"/>
    <n v="6963"/>
    <n v="18382.32"/>
    <d v="2014-01-11T00:00:00"/>
    <n v="11"/>
    <s v=" November "/>
    <x v="0"/>
    <n v="0"/>
    <n v="0.7252747252747253"/>
    <n v="0.2747252747252747"/>
    <n v="0.0989010989010989"/>
    <n v="10.92"/>
    <n v="7.92"/>
    <x v="0"/>
  </r>
  <r>
    <x v="3"/>
    <x v="2"/>
    <x v="1"/>
    <x v="2"/>
    <n v="1857"/>
    <n v="5"/>
    <n v="125"/>
    <n v="232125"/>
    <n v="20891.25"/>
    <n v="211233.75"/>
    <n v="222840"/>
    <n v="-11606.25"/>
    <d v="2013-01-11T00:00:00"/>
    <n v="11"/>
    <s v=" November "/>
    <x v="1"/>
    <n v="0"/>
    <n v="-0.05494505494505494"/>
    <n v="1.054945054945055"/>
    <n v="0.0989010989010989"/>
    <n v="113.75"/>
    <n v="-6.25"/>
    <x v="1"/>
  </r>
  <r>
    <x v="0"/>
    <x v="0"/>
    <x v="1"/>
    <x v="2"/>
    <n v="1611"/>
    <n v="5"/>
    <n v="7"/>
    <n v="11277"/>
    <n v="1014.93"/>
    <n v="10262.07"/>
    <n v="8055"/>
    <n v="2207.07"/>
    <d v="2013-01-12T00:00:00"/>
    <n v="12"/>
    <s v=" December "/>
    <x v="1"/>
    <n v="0"/>
    <n v="0.2150706436420722"/>
    <n v="0.7849293563579278"/>
    <n v="0.0989010989010989"/>
    <n v="6.37"/>
    <n v="1.37"/>
    <x v="0"/>
  </r>
  <r>
    <x v="3"/>
    <x v="4"/>
    <x v="1"/>
    <x v="2"/>
    <n v="2797"/>
    <n v="5"/>
    <n v="125"/>
    <n v="349625"/>
    <n v="31466.25"/>
    <n v="318158.75"/>
    <n v="335640"/>
    <n v="-17481.25"/>
    <d v="2014-01-12T00:00:00"/>
    <n v="12"/>
    <s v=" December "/>
    <x v="0"/>
    <n v="0"/>
    <n v="-0.05494505494505494"/>
    <n v="1.054945054945055"/>
    <n v="0.0989010989010989"/>
    <n v="113.75"/>
    <n v="-6.25"/>
    <x v="1"/>
  </r>
  <r>
    <x v="4"/>
    <x v="1"/>
    <x v="1"/>
    <x v="2"/>
    <n v="334"/>
    <n v="5"/>
    <n v="300"/>
    <n v="100200"/>
    <n v="9018"/>
    <n v="91182"/>
    <n v="83500"/>
    <n v="7682"/>
    <d v="2013-01-12T00:00:00"/>
    <n v="12"/>
    <s v=" December "/>
    <x v="1"/>
    <n v="0"/>
    <n v="0.08424908424908426"/>
    <n v="0.9157509157509157"/>
    <n v="0.0989010989010989"/>
    <n v="273"/>
    <n v="23"/>
    <x v="0"/>
  </r>
  <r>
    <x v="4"/>
    <x v="3"/>
    <x v="2"/>
    <x v="2"/>
    <n v="2565"/>
    <n v="10"/>
    <n v="300"/>
    <n v="769500"/>
    <n v="69255"/>
    <n v="700245"/>
    <n v="641250"/>
    <n v="58995"/>
    <d v="2014-01-01T00:00:00"/>
    <n v="1"/>
    <s v=" January "/>
    <x v="0"/>
    <n v="0"/>
    <n v="0.08424908424908426"/>
    <n v="0.9157509157509157"/>
    <n v="0.0989010989010989"/>
    <n v="273"/>
    <n v="23"/>
    <x v="0"/>
  </r>
  <r>
    <x v="0"/>
    <x v="3"/>
    <x v="2"/>
    <x v="2"/>
    <n v="2417"/>
    <n v="10"/>
    <n v="350"/>
    <n v="845950"/>
    <n v="76135.5"/>
    <n v="769814.5"/>
    <n v="628420"/>
    <n v="141394.5"/>
    <d v="2014-01-01T00:00:00"/>
    <n v="1"/>
    <s v=" January "/>
    <x v="0"/>
    <n v="0"/>
    <n v="0.1836734693877551"/>
    <n v="0.8163265306122449"/>
    <n v="0.0989010989010989"/>
    <n v="318.5"/>
    <n v="58.5"/>
    <x v="0"/>
  </r>
  <r>
    <x v="1"/>
    <x v="4"/>
    <x v="2"/>
    <x v="2"/>
    <n v="3675"/>
    <n v="10"/>
    <n v="15"/>
    <n v="55125"/>
    <n v="4961.25"/>
    <n v="50163.75"/>
    <n v="36750"/>
    <n v="13413.75"/>
    <d v="2014-01-04T00:00:00"/>
    <n v="4"/>
    <s v=" April "/>
    <x v="0"/>
    <n v="0"/>
    <n v="0.2673992673992674"/>
    <n v="0.7326007326007326"/>
    <n v="0.0989010989010989"/>
    <n v="13.65"/>
    <n v="3.65"/>
    <x v="0"/>
  </r>
  <r>
    <x v="4"/>
    <x v="0"/>
    <x v="2"/>
    <x v="2"/>
    <n v="1094"/>
    <n v="10"/>
    <n v="300"/>
    <n v="328200"/>
    <n v="29538"/>
    <n v="298662"/>
    <n v="273500"/>
    <n v="25162"/>
    <d v="2014-01-06T00:00:00"/>
    <n v="6"/>
    <s v=" June "/>
    <x v="0"/>
    <n v="0"/>
    <n v="0.08424908424908426"/>
    <n v="0.9157509157509157"/>
    <n v="0.0989010989010989"/>
    <n v="273"/>
    <n v="23"/>
    <x v="0"/>
  </r>
  <r>
    <x v="1"/>
    <x v="2"/>
    <x v="2"/>
    <x v="2"/>
    <n v="1227"/>
    <n v="10"/>
    <n v="15"/>
    <n v="18405"/>
    <n v="1656.45"/>
    <n v="16748.55"/>
    <n v="12270"/>
    <n v="4478.55"/>
    <d v="2014-01-10T00:00:00"/>
    <n v="10"/>
    <s v=" October "/>
    <x v="0"/>
    <n v="0"/>
    <n v="0.2673992673992674"/>
    <n v="0.7326007326007327"/>
    <n v="0.09890109890109891"/>
    <n v="13.65"/>
    <n v="3.65"/>
    <x v="0"/>
  </r>
  <r>
    <x v="2"/>
    <x v="3"/>
    <x v="2"/>
    <x v="2"/>
    <n v="367"/>
    <n v="10"/>
    <n v="12"/>
    <n v="4404"/>
    <n v="396.36"/>
    <n v="4007.64"/>
    <n v="1101"/>
    <n v="2906.64"/>
    <d v="2013-01-10T00:00:00"/>
    <n v="10"/>
    <s v=" October "/>
    <x v="1"/>
    <n v="0"/>
    <n v="0.7252747252747253"/>
    <n v="0.2747252747252747"/>
    <n v="0.09890109890109891"/>
    <n v="10.92"/>
    <n v="7.92"/>
    <x v="0"/>
  </r>
  <r>
    <x v="4"/>
    <x v="2"/>
    <x v="2"/>
    <x v="2"/>
    <n v="1324"/>
    <n v="10"/>
    <n v="300"/>
    <n v="397200"/>
    <n v="35748"/>
    <n v="361452"/>
    <n v="331000"/>
    <n v="30452"/>
    <d v="2014-01-11T00:00:00"/>
    <n v="11"/>
    <s v=" November "/>
    <x v="0"/>
    <n v="0"/>
    <n v="0.08424908424908426"/>
    <n v="0.9157509157509157"/>
    <n v="0.0989010989010989"/>
    <n v="273"/>
    <n v="23"/>
    <x v="0"/>
  </r>
  <r>
    <x v="2"/>
    <x v="1"/>
    <x v="2"/>
    <x v="2"/>
    <n v="1775"/>
    <n v="10"/>
    <n v="12"/>
    <n v="21300"/>
    <n v="1917"/>
    <n v="19383"/>
    <n v="5325"/>
    <n v="14058"/>
    <d v="2013-01-11T00:00:00"/>
    <n v="11"/>
    <s v=" November "/>
    <x v="1"/>
    <n v="0"/>
    <n v="0.7252747252747253"/>
    <n v="0.2747252747252747"/>
    <n v="0.0989010989010989"/>
    <n v="10.92"/>
    <n v="7.92"/>
    <x v="0"/>
  </r>
  <r>
    <x v="3"/>
    <x v="4"/>
    <x v="2"/>
    <x v="2"/>
    <n v="2797"/>
    <n v="10"/>
    <n v="125"/>
    <n v="349625"/>
    <n v="31466.25"/>
    <n v="318158.75"/>
    <n v="335640"/>
    <n v="-17481.25"/>
    <d v="2014-01-12T00:00:00"/>
    <n v="12"/>
    <s v=" December "/>
    <x v="0"/>
    <n v="0"/>
    <n v="-0.05494505494505494"/>
    <n v="1.054945054945055"/>
    <n v="0.0989010989010989"/>
    <n v="113.75"/>
    <n v="-6.25"/>
    <x v="1"/>
  </r>
  <r>
    <x v="1"/>
    <x v="3"/>
    <x v="3"/>
    <x v="2"/>
    <n v="245"/>
    <n v="120"/>
    <n v="15"/>
    <n v="3675"/>
    <n v="330.75"/>
    <n v="3344.25"/>
    <n v="2450"/>
    <n v="894.25"/>
    <d v="2014-01-05T00:00:00"/>
    <n v="5"/>
    <s v=" May "/>
    <x v="0"/>
    <n v="0"/>
    <n v="0.2673992673992674"/>
    <n v="0.7326007326007326"/>
    <n v="0.0989010989010989"/>
    <n v="13.65"/>
    <n v="3.65"/>
    <x v="0"/>
  </r>
  <r>
    <x v="4"/>
    <x v="0"/>
    <x v="3"/>
    <x v="2"/>
    <n v="3793.5"/>
    <n v="120"/>
    <n v="300"/>
    <n v="1138050"/>
    <n v="102424.5"/>
    <n v="1035625.5"/>
    <n v="948375"/>
    <n v="87250.5"/>
    <d v="2014-01-07T00:00:00"/>
    <n v="7"/>
    <s v=" July "/>
    <x v="0"/>
    <n v="1"/>
    <n v="0.08424908424908426"/>
    <n v="0.9157509157509157"/>
    <n v="0.0989010989010989"/>
    <n v="273"/>
    <n v="23"/>
    <x v="0"/>
  </r>
  <r>
    <x v="0"/>
    <x v="1"/>
    <x v="3"/>
    <x v="2"/>
    <n v="1307"/>
    <n v="120"/>
    <n v="350"/>
    <n v="457450"/>
    <n v="41170.5"/>
    <n v="416279.5"/>
    <n v="339820"/>
    <n v="76459.5"/>
    <d v="2014-01-07T00:00:00"/>
    <n v="7"/>
    <s v=" July "/>
    <x v="0"/>
    <n v="0"/>
    <n v="0.1836734693877551"/>
    <n v="0.8163265306122449"/>
    <n v="0.0989010989010989"/>
    <n v="318.5"/>
    <n v="58.5"/>
    <x v="0"/>
  </r>
  <r>
    <x v="3"/>
    <x v="0"/>
    <x v="3"/>
    <x v="2"/>
    <n v="567"/>
    <n v="120"/>
    <n v="125"/>
    <n v="70875"/>
    <n v="6378.75"/>
    <n v="64496.25"/>
    <n v="68040"/>
    <n v="-3543.75"/>
    <d v="2014-01-09T00:00:00"/>
    <n v="9"/>
    <s v=" September "/>
    <x v="0"/>
    <n v="0"/>
    <n v="-0.05494505494505494"/>
    <n v="1.054945054945055"/>
    <n v="0.0989010989010989"/>
    <n v="113.75"/>
    <n v="-6.25"/>
    <x v="1"/>
  </r>
  <r>
    <x v="3"/>
    <x v="3"/>
    <x v="3"/>
    <x v="2"/>
    <n v="2110"/>
    <n v="120"/>
    <n v="125"/>
    <n v="263750"/>
    <n v="23737.5"/>
    <n v="240012.5"/>
    <n v="253200"/>
    <n v="-13187.5"/>
    <d v="2014-01-09T00:00:00"/>
    <n v="9"/>
    <s v=" September "/>
    <x v="0"/>
    <n v="0"/>
    <n v="-0.05494505494505494"/>
    <n v="1.054945054945055"/>
    <n v="0.0989010989010989"/>
    <n v="113.75"/>
    <n v="-6.25"/>
    <x v="1"/>
  </r>
  <r>
    <x v="0"/>
    <x v="0"/>
    <x v="3"/>
    <x v="2"/>
    <n v="1269"/>
    <n v="120"/>
    <n v="350"/>
    <n v="444150"/>
    <n v="39973.5"/>
    <n v="404176.5"/>
    <n v="329940"/>
    <n v="74236.5"/>
    <d v="2014-01-10T00:00:00"/>
    <n v="10"/>
    <s v=" October "/>
    <x v="0"/>
    <n v="0"/>
    <n v="0.1836734693877551"/>
    <n v="0.8163265306122449"/>
    <n v="0.0989010989010989"/>
    <n v="318.5"/>
    <n v="58.5"/>
    <x v="0"/>
  </r>
  <r>
    <x v="2"/>
    <x v="4"/>
    <x v="4"/>
    <x v="2"/>
    <n v="1956"/>
    <n v="250"/>
    <n v="12"/>
    <n v="23472"/>
    <n v="2112.48"/>
    <n v="21359.52"/>
    <n v="5868"/>
    <n v="15491.52"/>
    <d v="2014-01-01T00:00:00"/>
    <n v="1"/>
    <s v=" January "/>
    <x v="0"/>
    <n v="0"/>
    <n v="0.7252747252747253"/>
    <n v="0.2747252747252747"/>
    <n v="0.0989010989010989"/>
    <n v="10.92"/>
    <n v="7.92"/>
    <x v="0"/>
  </r>
  <r>
    <x v="4"/>
    <x v="1"/>
    <x v="4"/>
    <x v="2"/>
    <n v="2659"/>
    <n v="250"/>
    <n v="300"/>
    <n v="797700"/>
    <n v="71793"/>
    <n v="725907"/>
    <n v="664750"/>
    <n v="61157"/>
    <d v="2014-01-02T00:00:00"/>
    <n v="2"/>
    <s v=" February "/>
    <x v="0"/>
    <n v="0"/>
    <n v="0.08424908424908426"/>
    <n v="0.9157509157509157"/>
    <n v="0.0989010989010989"/>
    <n v="273"/>
    <n v="23"/>
    <x v="0"/>
  </r>
  <r>
    <x v="0"/>
    <x v="4"/>
    <x v="4"/>
    <x v="2"/>
    <n v="1351.5"/>
    <n v="250"/>
    <n v="350"/>
    <n v="473025"/>
    <n v="42572.25"/>
    <n v="430452.75"/>
    <n v="351390"/>
    <n v="79062.75"/>
    <d v="2014-01-04T00:00:00"/>
    <n v="4"/>
    <s v=" April "/>
    <x v="0"/>
    <n v="1"/>
    <n v="0.1836734693877551"/>
    <n v="0.8163265306122449"/>
    <n v="0.0989010989010989"/>
    <n v="318.5"/>
    <n v="58.5"/>
    <x v="0"/>
  </r>
  <r>
    <x v="2"/>
    <x v="1"/>
    <x v="4"/>
    <x v="2"/>
    <n v="880"/>
    <n v="250"/>
    <n v="12"/>
    <n v="10560"/>
    <n v="950.4"/>
    <n v="9609.6"/>
    <n v="2640"/>
    <n v="6969.6"/>
    <d v="2014-01-05T00:00:00"/>
    <n v="5"/>
    <s v=" May "/>
    <x v="0"/>
    <n v="0"/>
    <n v="0.7252747252747253"/>
    <n v="0.2747252747252747"/>
    <n v="0.0989010989010989"/>
    <n v="10.92"/>
    <n v="7.920000000000001"/>
    <x v="0"/>
  </r>
  <r>
    <x v="4"/>
    <x v="4"/>
    <x v="4"/>
    <x v="2"/>
    <n v="1867"/>
    <n v="250"/>
    <n v="300"/>
    <n v="560100"/>
    <n v="50409"/>
    <n v="509691"/>
    <n v="466750"/>
    <n v="42941"/>
    <d v="2014-01-09T00:00:00"/>
    <n v="9"/>
    <s v=" September "/>
    <x v="0"/>
    <n v="0"/>
    <n v="0.08424908424908426"/>
    <n v="0.9157509157509157"/>
    <n v="0.0989010989010989"/>
    <n v="273"/>
    <n v="23"/>
    <x v="0"/>
  </r>
  <r>
    <x v="2"/>
    <x v="2"/>
    <x v="4"/>
    <x v="2"/>
    <n v="2234"/>
    <n v="250"/>
    <n v="12"/>
    <n v="26808"/>
    <n v="2412.72"/>
    <n v="24395.28"/>
    <n v="6702"/>
    <n v="17693.28"/>
    <d v="2013-01-09T00:00:00"/>
    <n v="9"/>
    <s v=" September "/>
    <x v="1"/>
    <n v="0"/>
    <n v="0.7252747252747253"/>
    <n v="0.2747252747252747"/>
    <n v="0.0989010989010989"/>
    <n v="10.92"/>
    <n v="7.919999999999999"/>
    <x v="0"/>
  </r>
  <r>
    <x v="1"/>
    <x v="2"/>
    <x v="4"/>
    <x v="2"/>
    <n v="1227"/>
    <n v="250"/>
    <n v="15"/>
    <n v="18405"/>
    <n v="1656.45"/>
    <n v="16748.55"/>
    <n v="12270"/>
    <n v="4478.55"/>
    <d v="2014-01-10T00:00:00"/>
    <n v="10"/>
    <s v=" October "/>
    <x v="0"/>
    <n v="0"/>
    <n v="0.2673992673992674"/>
    <n v="0.7326007326007327"/>
    <n v="0.09890109890109891"/>
    <n v="13.65"/>
    <n v="3.65"/>
    <x v="0"/>
  </r>
  <r>
    <x v="3"/>
    <x v="3"/>
    <x v="4"/>
    <x v="2"/>
    <n v="877"/>
    <n v="250"/>
    <n v="125"/>
    <n v="109625"/>
    <n v="9866.25"/>
    <n v="99758.75"/>
    <n v="105240"/>
    <n v="-5481.25"/>
    <d v="2014-01-11T00:00:00"/>
    <n v="11"/>
    <s v=" November "/>
    <x v="0"/>
    <n v="0"/>
    <n v="-0.05494505494505494"/>
    <n v="1.054945054945055"/>
    <n v="0.0989010989010989"/>
    <n v="113.75"/>
    <n v="-6.25"/>
    <x v="1"/>
  </r>
  <r>
    <x v="0"/>
    <x v="4"/>
    <x v="5"/>
    <x v="2"/>
    <n v="2071"/>
    <n v="260"/>
    <n v="350"/>
    <n v="724850"/>
    <n v="65236.5"/>
    <n v="659613.5"/>
    <n v="538460"/>
    <n v="121153.5"/>
    <d v="2014-01-09T00:00:00"/>
    <n v="9"/>
    <s v=" September "/>
    <x v="0"/>
    <n v="0"/>
    <n v="0.1836734693877551"/>
    <n v="0.8163265306122449"/>
    <n v="0.0989010989010989"/>
    <n v="318.5"/>
    <n v="58.5"/>
    <x v="0"/>
  </r>
  <r>
    <x v="0"/>
    <x v="0"/>
    <x v="5"/>
    <x v="2"/>
    <n v="1269"/>
    <n v="260"/>
    <n v="350"/>
    <n v="444150"/>
    <n v="39973.5"/>
    <n v="404176.5"/>
    <n v="329940"/>
    <n v="74236.5"/>
    <d v="2014-01-10T00:00:00"/>
    <n v="10"/>
    <s v=" October "/>
    <x v="0"/>
    <n v="0"/>
    <n v="0.1836734693877551"/>
    <n v="0.8163265306122449"/>
    <n v="0.0989010989010989"/>
    <n v="318.5"/>
    <n v="58.5"/>
    <x v="0"/>
  </r>
  <r>
    <x v="1"/>
    <x v="1"/>
    <x v="5"/>
    <x v="2"/>
    <n v="970"/>
    <n v="260"/>
    <n v="15"/>
    <n v="14550"/>
    <n v="1309.5"/>
    <n v="13240.5"/>
    <n v="9700"/>
    <n v="3540.5"/>
    <d v="2013-01-11T00:00:00"/>
    <n v="11"/>
    <s v=" November "/>
    <x v="1"/>
    <n v="0"/>
    <n v="0.2673992673992674"/>
    <n v="0.7326007326007326"/>
    <n v="0.0989010989010989"/>
    <n v="13.65"/>
    <n v="3.65"/>
    <x v="0"/>
  </r>
  <r>
    <x v="0"/>
    <x v="3"/>
    <x v="5"/>
    <x v="2"/>
    <n v="1694"/>
    <n v="260"/>
    <n v="20"/>
    <n v="33880"/>
    <n v="3049.2"/>
    <n v="30830.8"/>
    <n v="16940"/>
    <n v="13890.8"/>
    <d v="2014-01-11T00:00:00"/>
    <n v="11"/>
    <s v=" November "/>
    <x v="0"/>
    <n v="0"/>
    <n v="0.4505494505494506"/>
    <n v="0.5494505494505495"/>
    <n v="0.0989010989010989"/>
    <n v="18.2"/>
    <n v="8.199999999999999"/>
    <x v="0"/>
  </r>
  <r>
    <x v="0"/>
    <x v="1"/>
    <x v="0"/>
    <x v="2"/>
    <n v="663"/>
    <n v="3"/>
    <n v="20"/>
    <n v="13260"/>
    <n v="1193.4"/>
    <n v="12066.6"/>
    <n v="6630"/>
    <n v="5436.6"/>
    <d v="2014-01-05T00:00:00"/>
    <n v="5"/>
    <s v=" May "/>
    <x v="0"/>
    <n v="0"/>
    <n v="0.4505494505494506"/>
    <n v="0.5494505494505494"/>
    <n v="0.09890109890109891"/>
    <n v="18.2"/>
    <n v="8.200000000000001"/>
    <x v="0"/>
  </r>
  <r>
    <x v="0"/>
    <x v="0"/>
    <x v="0"/>
    <x v="2"/>
    <n v="819"/>
    <n v="3"/>
    <n v="7"/>
    <n v="5733"/>
    <n v="515.97"/>
    <n v="5217.03"/>
    <n v="4095"/>
    <n v="1122.03"/>
    <d v="2014-01-07T00:00:00"/>
    <n v="7"/>
    <s v=" July "/>
    <x v="0"/>
    <n v="0"/>
    <n v="0.2150706436420722"/>
    <n v="0.7849293563579278"/>
    <n v="0.09890109890109891"/>
    <n v="6.37"/>
    <n v="1.37"/>
    <x v="0"/>
  </r>
  <r>
    <x v="2"/>
    <x v="1"/>
    <x v="0"/>
    <x v="2"/>
    <n v="1580"/>
    <n v="3"/>
    <n v="12"/>
    <n v="18960"/>
    <n v="1706.4"/>
    <n v="17253.6"/>
    <n v="4740"/>
    <n v="12513.6"/>
    <d v="2014-01-09T00:00:00"/>
    <n v="9"/>
    <s v=" September "/>
    <x v="0"/>
    <n v="0"/>
    <n v="0.7252747252747254"/>
    <n v="0.2747252747252747"/>
    <n v="0.09890109890109891"/>
    <n v="10.92"/>
    <n v="7.92"/>
    <x v="0"/>
  </r>
  <r>
    <x v="0"/>
    <x v="3"/>
    <x v="0"/>
    <x v="2"/>
    <n v="521"/>
    <n v="3"/>
    <n v="7"/>
    <n v="3647"/>
    <n v="328.23"/>
    <n v="3318.77"/>
    <n v="2605"/>
    <n v="713.77"/>
    <d v="2014-01-12T00:00:00"/>
    <n v="12"/>
    <s v=" December "/>
    <x v="0"/>
    <n v="0"/>
    <n v="0.2150706436420722"/>
    <n v="0.7849293563579278"/>
    <n v="0.09890109890109891"/>
    <n v="6.37"/>
    <n v="1.37"/>
    <x v="0"/>
  </r>
  <r>
    <x v="0"/>
    <x v="4"/>
    <x v="2"/>
    <x v="2"/>
    <n v="973"/>
    <n v="10"/>
    <n v="20"/>
    <n v="19460"/>
    <n v="1751.4"/>
    <n v="17708.6"/>
    <n v="9730"/>
    <n v="7978.6"/>
    <d v="2014-01-03T00:00:00"/>
    <n v="3"/>
    <s v=" March "/>
    <x v="0"/>
    <n v="0"/>
    <n v="0.4505494505494506"/>
    <n v="0.5494505494505495"/>
    <n v="0.09890109890109891"/>
    <n v="18.2"/>
    <n v="8.200000000000001"/>
    <x v="0"/>
  </r>
  <r>
    <x v="0"/>
    <x v="3"/>
    <x v="2"/>
    <x v="2"/>
    <n v="1038"/>
    <n v="10"/>
    <n v="20"/>
    <n v="20760"/>
    <n v="1868.4"/>
    <n v="18891.6"/>
    <n v="10380"/>
    <n v="8511.6"/>
    <d v="2014-01-06T00:00:00"/>
    <n v="6"/>
    <s v=" June "/>
    <x v="0"/>
    <n v="0"/>
    <n v="0.4505494505494506"/>
    <n v="0.5494505494505495"/>
    <n v="0.09890109890109891"/>
    <n v="18.2"/>
    <n v="8.200000000000001"/>
    <x v="0"/>
  </r>
  <r>
    <x v="0"/>
    <x v="1"/>
    <x v="2"/>
    <x v="2"/>
    <n v="360"/>
    <n v="10"/>
    <n v="7"/>
    <n v="2520"/>
    <n v="226.8"/>
    <n v="2293.2"/>
    <n v="1800"/>
    <n v="493.2"/>
    <d v="2014-01-10T00:00:00"/>
    <n v="10"/>
    <s v=" October "/>
    <x v="0"/>
    <n v="0"/>
    <n v="0.2150706436420722"/>
    <n v="0.7849293563579278"/>
    <n v="0.09890109890109891"/>
    <n v="6.369999999999999"/>
    <n v="1.37"/>
    <x v="0"/>
  </r>
  <r>
    <x v="2"/>
    <x v="2"/>
    <x v="3"/>
    <x v="2"/>
    <n v="1967"/>
    <n v="120"/>
    <n v="12"/>
    <n v="23604"/>
    <n v="2124.36"/>
    <n v="21479.64"/>
    <n v="5901"/>
    <n v="15578.64"/>
    <d v="2014-01-03T00:00:00"/>
    <n v="3"/>
    <s v=" March "/>
    <x v="0"/>
    <n v="0"/>
    <n v="0.7252747252747253"/>
    <n v="0.2747252747252747"/>
    <n v="0.09890109890109891"/>
    <n v="10.92"/>
    <n v="7.92"/>
    <x v="0"/>
  </r>
  <r>
    <x v="1"/>
    <x v="3"/>
    <x v="3"/>
    <x v="2"/>
    <n v="2628"/>
    <n v="120"/>
    <n v="15"/>
    <n v="39420"/>
    <n v="3547.8"/>
    <n v="35872.2"/>
    <n v="26280"/>
    <n v="9592.200000000001"/>
    <d v="2014-01-04T00:00:00"/>
    <n v="4"/>
    <s v=" April "/>
    <x v="0"/>
    <n v="0"/>
    <n v="0.2673992673992674"/>
    <n v="0.7326007326007327"/>
    <n v="0.09890109890109891"/>
    <n v="13.65"/>
    <n v="3.65"/>
    <x v="0"/>
  </r>
  <r>
    <x v="0"/>
    <x v="1"/>
    <x v="4"/>
    <x v="2"/>
    <n v="360"/>
    <n v="250"/>
    <n v="7"/>
    <n v="2520"/>
    <n v="226.8"/>
    <n v="2293.2"/>
    <n v="1800"/>
    <n v="493.2"/>
    <d v="2014-01-10T00:00:00"/>
    <n v="10"/>
    <s v=" October "/>
    <x v="0"/>
    <n v="0"/>
    <n v="0.2150706436420722"/>
    <n v="0.7849293563579278"/>
    <n v="0.09890109890109891"/>
    <n v="6.369999999999999"/>
    <n v="1.37"/>
    <x v="0"/>
  </r>
  <r>
    <x v="0"/>
    <x v="2"/>
    <x v="4"/>
    <x v="2"/>
    <n v="2682"/>
    <n v="250"/>
    <n v="20"/>
    <n v="53640"/>
    <n v="4827.6"/>
    <n v="48812.4"/>
    <n v="26820"/>
    <n v="21992.4"/>
    <d v="2013-01-11T00:00:00"/>
    <n v="11"/>
    <s v=" November "/>
    <x v="1"/>
    <n v="0"/>
    <n v="0.4505494505494506"/>
    <n v="0.5494505494505494"/>
    <n v="0.09890109890109891"/>
    <n v="18.2"/>
    <n v="8.200000000000001"/>
    <x v="0"/>
  </r>
  <r>
    <x v="0"/>
    <x v="3"/>
    <x v="4"/>
    <x v="2"/>
    <n v="521"/>
    <n v="250"/>
    <n v="7"/>
    <n v="3647"/>
    <n v="328.23"/>
    <n v="3318.77"/>
    <n v="2605"/>
    <n v="713.77"/>
    <d v="2014-01-12T00:00:00"/>
    <n v="12"/>
    <s v=" December "/>
    <x v="0"/>
    <n v="0"/>
    <n v="0.2150706436420722"/>
    <n v="0.7849293563579278"/>
    <n v="0.09890109890109891"/>
    <n v="6.37"/>
    <n v="1.37"/>
    <x v="0"/>
  </r>
  <r>
    <x v="0"/>
    <x v="3"/>
    <x v="5"/>
    <x v="2"/>
    <n v="1038"/>
    <n v="260"/>
    <n v="20"/>
    <n v="20760"/>
    <n v="1868.4"/>
    <n v="18891.6"/>
    <n v="10380"/>
    <n v="8511.6"/>
    <d v="2014-01-06T00:00:00"/>
    <n v="6"/>
    <s v=" June "/>
    <x v="0"/>
    <n v="0"/>
    <n v="0.4505494505494506"/>
    <n v="0.5494505494505495"/>
    <n v="0.09890109890109891"/>
    <n v="18.2"/>
    <n v="8.200000000000001"/>
    <x v="0"/>
  </r>
  <r>
    <x v="1"/>
    <x v="0"/>
    <x v="5"/>
    <x v="2"/>
    <n v="1630.5"/>
    <n v="260"/>
    <n v="15"/>
    <n v="24457.5"/>
    <n v="2201.18"/>
    <n v="22256.33"/>
    <n v="16305"/>
    <n v="5951.33"/>
    <d v="2014-01-07T00:00:00"/>
    <n v="7"/>
    <s v=" July "/>
    <x v="0"/>
    <n v="1"/>
    <n v="0.2673994319818227"/>
    <n v="0.7326005680181772"/>
    <n v="0.09890130133764191"/>
    <n v="13.65000306654401"/>
    <n v="3.650003066544005"/>
    <x v="0"/>
  </r>
  <r>
    <x v="2"/>
    <x v="2"/>
    <x v="5"/>
    <x v="2"/>
    <n v="306"/>
    <n v="260"/>
    <n v="12"/>
    <n v="3672"/>
    <n v="330.48"/>
    <n v="3341.52"/>
    <n v="918"/>
    <n v="2423.52"/>
    <d v="2013-01-12T00:00:00"/>
    <n v="12"/>
    <s v=" December "/>
    <x v="1"/>
    <n v="0"/>
    <n v="0.7252747252747253"/>
    <n v="0.2747252747252747"/>
    <n v="0.09890109890109891"/>
    <n v="10.92"/>
    <n v="7.92"/>
    <x v="0"/>
  </r>
  <r>
    <x v="2"/>
    <x v="4"/>
    <x v="0"/>
    <x v="3"/>
    <n v="386"/>
    <n v="3"/>
    <n v="12"/>
    <n v="4632"/>
    <n v="463.2"/>
    <n v="4168.8"/>
    <n v="1158"/>
    <n v="3010.8"/>
    <d v="2013-01-10T00:00:00"/>
    <n v="10"/>
    <s v=" October "/>
    <x v="1"/>
    <n v="0"/>
    <n v="0.7222222222222222"/>
    <n v="0.2777777777777778"/>
    <n v="0.1111111111111111"/>
    <n v="10.8"/>
    <n v="7.800000000000001"/>
    <x v="0"/>
  </r>
  <r>
    <x v="0"/>
    <x v="4"/>
    <x v="1"/>
    <x v="3"/>
    <n v="2328"/>
    <n v="5"/>
    <n v="7"/>
    <n v="16296"/>
    <n v="1629.6"/>
    <n v="14666.4"/>
    <n v="11640"/>
    <n v="3026.4"/>
    <d v="2014-01-09T00:00:00"/>
    <n v="9"/>
    <s v=" September "/>
    <x v="0"/>
    <n v="0"/>
    <n v="0.2063492063492064"/>
    <n v="0.7936507936507937"/>
    <n v="0.1111111111111111"/>
    <n v="6.3"/>
    <n v="1.3"/>
    <x v="0"/>
  </r>
  <r>
    <x v="2"/>
    <x v="4"/>
    <x v="2"/>
    <x v="3"/>
    <n v="386"/>
    <n v="10"/>
    <n v="12"/>
    <n v="4632"/>
    <n v="463.2"/>
    <n v="4168.8"/>
    <n v="1158"/>
    <n v="3010.8"/>
    <d v="2013-01-10T00:00:00"/>
    <n v="10"/>
    <s v=" October "/>
    <x v="1"/>
    <n v="0"/>
    <n v="0.7222222222222222"/>
    <n v="0.2777777777777778"/>
    <n v="0.1111111111111111"/>
    <n v="10.8"/>
    <n v="7.800000000000001"/>
    <x v="0"/>
  </r>
  <r>
    <x v="3"/>
    <x v="4"/>
    <x v="0"/>
    <x v="3"/>
    <n v="3445.5"/>
    <n v="3"/>
    <n v="125"/>
    <n v="430687.5"/>
    <n v="43068.75"/>
    <n v="387618.75"/>
    <n v="413460"/>
    <n v="-25841.25"/>
    <d v="2014-01-04T00:00:00"/>
    <n v="4"/>
    <s v=" April "/>
    <x v="0"/>
    <n v="1"/>
    <n v="-0.06666666666666667"/>
    <n v="1.066666666666667"/>
    <n v="0.1111111111111111"/>
    <n v="112.5"/>
    <n v="-7.5"/>
    <x v="1"/>
  </r>
  <r>
    <x v="3"/>
    <x v="2"/>
    <x v="0"/>
    <x v="3"/>
    <n v="1482"/>
    <n v="3"/>
    <n v="125"/>
    <n v="185250"/>
    <n v="18525"/>
    <n v="166725"/>
    <n v="177840"/>
    <n v="-11115"/>
    <d v="2013-01-12T00:00:00"/>
    <n v="12"/>
    <s v=" December "/>
    <x v="1"/>
    <n v="0"/>
    <n v="-0.06666666666666667"/>
    <n v="1.066666666666667"/>
    <n v="0.1111111111111111"/>
    <n v="112.5"/>
    <n v="-7.5"/>
    <x v="1"/>
  </r>
  <r>
    <x v="0"/>
    <x v="4"/>
    <x v="1"/>
    <x v="3"/>
    <n v="2313"/>
    <n v="5"/>
    <n v="350"/>
    <n v="809550"/>
    <n v="80955"/>
    <n v="728595"/>
    <n v="601380"/>
    <n v="127215"/>
    <d v="2014-01-05T00:00:00"/>
    <n v="5"/>
    <s v=" May "/>
    <x v="0"/>
    <n v="0"/>
    <n v="0.1746031746031746"/>
    <n v="0.8253968253968254"/>
    <n v="0.1111111111111111"/>
    <n v="315"/>
    <n v="55"/>
    <x v="0"/>
  </r>
  <r>
    <x v="3"/>
    <x v="4"/>
    <x v="1"/>
    <x v="3"/>
    <n v="1804"/>
    <n v="5"/>
    <n v="125"/>
    <n v="225500"/>
    <n v="22550"/>
    <n v="202950"/>
    <n v="216480"/>
    <n v="-13530"/>
    <d v="2013-01-11T00:00:00"/>
    <n v="11"/>
    <s v=" November "/>
    <x v="1"/>
    <n v="0"/>
    <n v="-0.06666666666666667"/>
    <n v="1.066666666666667"/>
    <n v="0.1111111111111111"/>
    <n v="112.5"/>
    <n v="-7.5"/>
    <x v="1"/>
  </r>
  <r>
    <x v="1"/>
    <x v="2"/>
    <x v="1"/>
    <x v="3"/>
    <n v="2072"/>
    <n v="5"/>
    <n v="15"/>
    <n v="31080"/>
    <n v="3108"/>
    <n v="27972"/>
    <n v="20720"/>
    <n v="7252"/>
    <d v="2014-01-12T00:00:00"/>
    <n v="12"/>
    <s v=" December "/>
    <x v="0"/>
    <n v="0"/>
    <n v="0.2592592592592592"/>
    <n v="0.7407407407407407"/>
    <n v="0.1111111111111111"/>
    <n v="13.5"/>
    <n v="3.5"/>
    <x v="0"/>
  </r>
  <r>
    <x v="0"/>
    <x v="2"/>
    <x v="2"/>
    <x v="3"/>
    <n v="1954"/>
    <n v="10"/>
    <n v="20"/>
    <n v="39080"/>
    <n v="3908"/>
    <n v="35172"/>
    <n v="19540"/>
    <n v="15632"/>
    <d v="2014-01-03T00:00:00"/>
    <n v="3"/>
    <s v=" March "/>
    <x v="0"/>
    <n v="0"/>
    <n v="0.4444444444444444"/>
    <n v="0.5555555555555556"/>
    <n v="0.1111111111111111"/>
    <n v="18"/>
    <n v="8"/>
    <x v="0"/>
  </r>
  <r>
    <x v="4"/>
    <x v="3"/>
    <x v="2"/>
    <x v="3"/>
    <n v="591"/>
    <n v="10"/>
    <n v="300"/>
    <n v="177300"/>
    <n v="17730"/>
    <n v="159570"/>
    <n v="147750"/>
    <n v="11820"/>
    <d v="2014-01-05T00:00:00"/>
    <n v="5"/>
    <s v=" May "/>
    <x v="0"/>
    <n v="0"/>
    <n v="0.07407407407407407"/>
    <n v="0.9259259259259259"/>
    <n v="0.1111111111111111"/>
    <n v="270"/>
    <n v="20"/>
    <x v="0"/>
  </r>
  <r>
    <x v="1"/>
    <x v="2"/>
    <x v="2"/>
    <x v="3"/>
    <n v="2167"/>
    <n v="10"/>
    <n v="15"/>
    <n v="32505"/>
    <n v="3250.5"/>
    <n v="29254.5"/>
    <n v="21670"/>
    <n v="7584.5"/>
    <d v="2013-01-10T00:00:00"/>
    <n v="10"/>
    <s v=" October "/>
    <x v="1"/>
    <n v="0"/>
    <n v="0.2592592592592592"/>
    <n v="0.7407407407407407"/>
    <n v="0.1111111111111111"/>
    <n v="13.5"/>
    <n v="3.5"/>
    <x v="0"/>
  </r>
  <r>
    <x v="0"/>
    <x v="1"/>
    <x v="2"/>
    <x v="3"/>
    <n v="241"/>
    <n v="10"/>
    <n v="20"/>
    <n v="4820"/>
    <n v="482"/>
    <n v="4338"/>
    <n v="2410"/>
    <n v="1928"/>
    <d v="2014-01-10T00:00:00"/>
    <n v="10"/>
    <s v=" October "/>
    <x v="0"/>
    <n v="0"/>
    <n v="0.4444444444444444"/>
    <n v="0.5555555555555556"/>
    <n v="0.1111111111111111"/>
    <n v="18"/>
    <n v="8"/>
    <x v="0"/>
  </r>
  <r>
    <x v="1"/>
    <x v="1"/>
    <x v="3"/>
    <x v="3"/>
    <n v="681"/>
    <n v="120"/>
    <n v="15"/>
    <n v="10215"/>
    <n v="1021.5"/>
    <n v="9193.5"/>
    <n v="6810"/>
    <n v="2383.5"/>
    <d v="2014-01-01T00:00:00"/>
    <n v="1"/>
    <s v=" January "/>
    <x v="0"/>
    <n v="0"/>
    <n v="0.2592592592592592"/>
    <n v="0.7407407407407407"/>
    <n v="0.1111111111111111"/>
    <n v="13.5"/>
    <n v="3.5"/>
    <x v="0"/>
  </r>
  <r>
    <x v="1"/>
    <x v="1"/>
    <x v="3"/>
    <x v="3"/>
    <n v="510"/>
    <n v="120"/>
    <n v="15"/>
    <n v="7650"/>
    <n v="765"/>
    <n v="6885"/>
    <n v="5100"/>
    <n v="1785"/>
    <d v="2014-01-04T00:00:00"/>
    <n v="4"/>
    <s v=" April "/>
    <x v="0"/>
    <n v="0"/>
    <n v="0.2592592592592592"/>
    <n v="0.7407407407407407"/>
    <n v="0.1111111111111111"/>
    <n v="13.5"/>
    <n v="3.5"/>
    <x v="0"/>
  </r>
  <r>
    <x v="1"/>
    <x v="4"/>
    <x v="3"/>
    <x v="3"/>
    <n v="790"/>
    <n v="120"/>
    <n v="15"/>
    <n v="11850"/>
    <n v="1185"/>
    <n v="10665"/>
    <n v="7900"/>
    <n v="2765"/>
    <d v="2014-01-05T00:00:00"/>
    <n v="5"/>
    <s v=" May "/>
    <x v="0"/>
    <n v="0"/>
    <n v="0.2592592592592592"/>
    <n v="0.7407407407407407"/>
    <n v="0.1111111111111111"/>
    <n v="13.5"/>
    <n v="3.5"/>
    <x v="0"/>
  </r>
  <r>
    <x v="0"/>
    <x v="2"/>
    <x v="3"/>
    <x v="3"/>
    <n v="639"/>
    <n v="120"/>
    <n v="350"/>
    <n v="223650"/>
    <n v="22365"/>
    <n v="201285"/>
    <n v="166140"/>
    <n v="35145"/>
    <d v="2014-01-07T00:00:00"/>
    <n v="7"/>
    <s v=" July "/>
    <x v="0"/>
    <n v="0"/>
    <n v="0.1746031746031746"/>
    <n v="0.8253968253968254"/>
    <n v="0.1111111111111111"/>
    <n v="315"/>
    <n v="55"/>
    <x v="0"/>
  </r>
  <r>
    <x v="3"/>
    <x v="4"/>
    <x v="3"/>
    <x v="3"/>
    <n v="1596"/>
    <n v="120"/>
    <n v="125"/>
    <n v="199500"/>
    <n v="19950"/>
    <n v="179550"/>
    <n v="191520"/>
    <n v="-11970"/>
    <d v="2014-01-09T00:00:00"/>
    <n v="9"/>
    <s v=" September "/>
    <x v="0"/>
    <n v="0"/>
    <n v="-0.06666666666666667"/>
    <n v="1.066666666666667"/>
    <n v="0.1111111111111111"/>
    <n v="112.5"/>
    <n v="-7.5"/>
    <x v="1"/>
  </r>
  <r>
    <x v="4"/>
    <x v="4"/>
    <x v="3"/>
    <x v="3"/>
    <n v="2294"/>
    <n v="120"/>
    <n v="300"/>
    <n v="688200"/>
    <n v="68820"/>
    <n v="619380"/>
    <n v="573500"/>
    <n v="45880"/>
    <d v="2013-01-10T00:00:00"/>
    <n v="10"/>
    <s v=" October "/>
    <x v="1"/>
    <n v="0"/>
    <n v="0.07407407407407407"/>
    <n v="0.9259259259259259"/>
    <n v="0.1111111111111111"/>
    <n v="270"/>
    <n v="20"/>
    <x v="0"/>
  </r>
  <r>
    <x v="0"/>
    <x v="1"/>
    <x v="3"/>
    <x v="3"/>
    <n v="241"/>
    <n v="120"/>
    <n v="20"/>
    <n v="4820"/>
    <n v="482"/>
    <n v="4338"/>
    <n v="2410"/>
    <n v="1928"/>
    <d v="2014-01-10T00:00:00"/>
    <n v="10"/>
    <s v=" October "/>
    <x v="0"/>
    <n v="0"/>
    <n v="0.4444444444444444"/>
    <n v="0.5555555555555556"/>
    <n v="0.1111111111111111"/>
    <n v="18"/>
    <n v="8"/>
    <x v="0"/>
  </r>
  <r>
    <x v="0"/>
    <x v="1"/>
    <x v="3"/>
    <x v="3"/>
    <n v="2665"/>
    <n v="120"/>
    <n v="7"/>
    <n v="18655"/>
    <n v="1865.5"/>
    <n v="16789.5"/>
    <n v="13325"/>
    <n v="3464.5"/>
    <d v="2014-01-11T00:00:00"/>
    <n v="11"/>
    <s v=" November "/>
    <x v="0"/>
    <n v="0"/>
    <n v="0.2063492063492063"/>
    <n v="0.7936507936507936"/>
    <n v="0.1111111111111111"/>
    <n v="6.3"/>
    <n v="1.3"/>
    <x v="0"/>
  </r>
  <r>
    <x v="3"/>
    <x v="0"/>
    <x v="3"/>
    <x v="3"/>
    <n v="1916"/>
    <n v="120"/>
    <n v="125"/>
    <n v="239500"/>
    <n v="23950"/>
    <n v="215550"/>
    <n v="229920"/>
    <n v="-14370"/>
    <d v="2013-01-12T00:00:00"/>
    <n v="12"/>
    <s v=" December "/>
    <x v="1"/>
    <n v="0"/>
    <n v="-0.06666666666666667"/>
    <n v="1.066666666666667"/>
    <n v="0.1111111111111111"/>
    <n v="112.5"/>
    <n v="-7.5"/>
    <x v="1"/>
  </r>
  <r>
    <x v="4"/>
    <x v="2"/>
    <x v="3"/>
    <x v="3"/>
    <n v="853"/>
    <n v="120"/>
    <n v="300"/>
    <n v="255900"/>
    <n v="25590"/>
    <n v="230310"/>
    <n v="213250"/>
    <n v="17060"/>
    <d v="2014-01-12T00:00:00"/>
    <n v="12"/>
    <s v=" December "/>
    <x v="0"/>
    <n v="0"/>
    <n v="0.07407407407407407"/>
    <n v="0.9259259259259259"/>
    <n v="0.1111111111111111"/>
    <n v="270"/>
    <n v="20"/>
    <x v="0"/>
  </r>
  <r>
    <x v="3"/>
    <x v="3"/>
    <x v="4"/>
    <x v="3"/>
    <n v="341"/>
    <n v="250"/>
    <n v="125"/>
    <n v="42625"/>
    <n v="4262.5"/>
    <n v="38362.5"/>
    <n v="40920"/>
    <n v="-2557.5"/>
    <d v="2014-01-05T00:00:00"/>
    <n v="5"/>
    <s v=" May "/>
    <x v="0"/>
    <n v="0"/>
    <n v="-0.06666666666666667"/>
    <n v="1.066666666666667"/>
    <n v="0.1111111111111111"/>
    <n v="112.5"/>
    <n v="-7.5"/>
    <x v="1"/>
  </r>
  <r>
    <x v="1"/>
    <x v="3"/>
    <x v="4"/>
    <x v="3"/>
    <n v="641"/>
    <n v="250"/>
    <n v="15"/>
    <n v="9615"/>
    <n v="961.5"/>
    <n v="8653.5"/>
    <n v="6410"/>
    <n v="2243.5"/>
    <d v="2014-01-07T00:00:00"/>
    <n v="7"/>
    <s v=" July "/>
    <x v="0"/>
    <n v="0"/>
    <n v="0.2592592592592592"/>
    <n v="0.7407407407407407"/>
    <n v="0.1111111111111111"/>
    <n v="13.5"/>
    <n v="3.5"/>
    <x v="0"/>
  </r>
  <r>
    <x v="0"/>
    <x v="4"/>
    <x v="4"/>
    <x v="3"/>
    <n v="2807"/>
    <n v="250"/>
    <n v="350"/>
    <n v="982450"/>
    <n v="98245"/>
    <n v="884205"/>
    <n v="729820"/>
    <n v="154385"/>
    <d v="2014-01-08T00:00:00"/>
    <n v="8"/>
    <s v=" August "/>
    <x v="0"/>
    <n v="0"/>
    <n v="0.1746031746031746"/>
    <n v="0.8253968253968254"/>
    <n v="0.1111111111111111"/>
    <n v="315"/>
    <n v="55"/>
    <x v="0"/>
  </r>
  <r>
    <x v="4"/>
    <x v="3"/>
    <x v="4"/>
    <x v="3"/>
    <n v="432"/>
    <n v="250"/>
    <n v="300"/>
    <n v="129600"/>
    <n v="12960"/>
    <n v="116640"/>
    <n v="108000"/>
    <n v="8640"/>
    <d v="2014-01-09T00:00:00"/>
    <n v="9"/>
    <s v=" September "/>
    <x v="0"/>
    <n v="0"/>
    <n v="0.07407407407407407"/>
    <n v="0.9259259259259259"/>
    <n v="0.1111111111111111"/>
    <n v="270"/>
    <n v="20"/>
    <x v="0"/>
  </r>
  <r>
    <x v="4"/>
    <x v="4"/>
    <x v="4"/>
    <x v="3"/>
    <n v="2294"/>
    <n v="250"/>
    <n v="300"/>
    <n v="688200"/>
    <n v="68820"/>
    <n v="619380"/>
    <n v="573500"/>
    <n v="45880"/>
    <d v="2013-01-10T00:00:00"/>
    <n v="10"/>
    <s v=" October "/>
    <x v="1"/>
    <n v="0"/>
    <n v="0.07407407407407407"/>
    <n v="0.9259259259259259"/>
    <n v="0.1111111111111111"/>
    <n v="270"/>
    <n v="20"/>
    <x v="0"/>
  </r>
  <r>
    <x v="1"/>
    <x v="2"/>
    <x v="4"/>
    <x v="3"/>
    <n v="2167"/>
    <n v="250"/>
    <n v="15"/>
    <n v="32505"/>
    <n v="3250.5"/>
    <n v="29254.5"/>
    <n v="21670"/>
    <n v="7584.5"/>
    <d v="2013-01-10T00:00:00"/>
    <n v="10"/>
    <s v=" October "/>
    <x v="1"/>
    <n v="0"/>
    <n v="0.2592592592592592"/>
    <n v="0.7407407407407407"/>
    <n v="0.1111111111111111"/>
    <n v="13.5"/>
    <n v="3.5"/>
    <x v="0"/>
  </r>
  <r>
    <x v="3"/>
    <x v="0"/>
    <x v="4"/>
    <x v="3"/>
    <n v="2529"/>
    <n v="250"/>
    <n v="125"/>
    <n v="316125"/>
    <n v="31612.5"/>
    <n v="284512.5"/>
    <n v="303480"/>
    <n v="-18967.5"/>
    <d v="2014-01-11T00:00:00"/>
    <n v="11"/>
    <s v=" November "/>
    <x v="0"/>
    <n v="0"/>
    <n v="-0.06666666666666667"/>
    <n v="1.066666666666667"/>
    <n v="0.1111111111111111"/>
    <n v="112.5"/>
    <n v="-7.5"/>
    <x v="1"/>
  </r>
  <r>
    <x v="0"/>
    <x v="1"/>
    <x v="4"/>
    <x v="3"/>
    <n v="1870"/>
    <n v="250"/>
    <n v="350"/>
    <n v="654500"/>
    <n v="65450"/>
    <n v="589050"/>
    <n v="486200"/>
    <n v="102850"/>
    <d v="2013-01-12T00:00:00"/>
    <n v="12"/>
    <s v=" December "/>
    <x v="1"/>
    <n v="0"/>
    <n v="0.1746031746031746"/>
    <n v="0.8253968253968254"/>
    <n v="0.1111111111111111"/>
    <n v="315"/>
    <n v="55"/>
    <x v="0"/>
  </r>
  <r>
    <x v="3"/>
    <x v="4"/>
    <x v="5"/>
    <x v="3"/>
    <n v="579"/>
    <n v="260"/>
    <n v="125"/>
    <n v="72375"/>
    <n v="7237.5"/>
    <n v="65137.5"/>
    <n v="69480"/>
    <n v="-4342.5"/>
    <d v="2014-01-01T00:00:00"/>
    <n v="1"/>
    <s v=" January "/>
    <x v="0"/>
    <n v="0"/>
    <n v="-0.06666666666666667"/>
    <n v="1.066666666666667"/>
    <n v="0.1111111111111111"/>
    <n v="112.5"/>
    <n v="-7.5"/>
    <x v="1"/>
  </r>
  <r>
    <x v="0"/>
    <x v="0"/>
    <x v="5"/>
    <x v="3"/>
    <n v="2240"/>
    <n v="260"/>
    <n v="350"/>
    <n v="784000"/>
    <n v="78400"/>
    <n v="705600"/>
    <n v="582400"/>
    <n v="123200"/>
    <d v="2014-01-02T00:00:00"/>
    <n v="2"/>
    <s v=" February "/>
    <x v="0"/>
    <n v="0"/>
    <n v="0.1746031746031746"/>
    <n v="0.8253968253968254"/>
    <n v="0.1111111111111111"/>
    <n v="315"/>
    <n v="55"/>
    <x v="0"/>
  </r>
  <r>
    <x v="4"/>
    <x v="4"/>
    <x v="5"/>
    <x v="3"/>
    <n v="2993"/>
    <n v="260"/>
    <n v="300"/>
    <n v="897900"/>
    <n v="89790"/>
    <n v="808110"/>
    <n v="748250"/>
    <n v="59860"/>
    <d v="2014-01-03T00:00:00"/>
    <n v="3"/>
    <s v=" March "/>
    <x v="0"/>
    <n v="0"/>
    <n v="0.07407407407407407"/>
    <n v="0.9259259259259259"/>
    <n v="0.1111111111111111"/>
    <n v="270"/>
    <n v="20"/>
    <x v="0"/>
  </r>
  <r>
    <x v="2"/>
    <x v="0"/>
    <x v="5"/>
    <x v="3"/>
    <n v="3520.5"/>
    <n v="260"/>
    <n v="12"/>
    <n v="42246"/>
    <n v="4224.6"/>
    <n v="38021.4"/>
    <n v="10561.5"/>
    <n v="27459.9"/>
    <d v="2014-01-04T00:00:00"/>
    <n v="4"/>
    <s v=" April "/>
    <x v="0"/>
    <n v="1"/>
    <n v="0.7222222222222222"/>
    <n v="0.2777777777777778"/>
    <n v="0.1111111111111111"/>
    <n v="10.8"/>
    <n v="7.800000000000001"/>
    <x v="0"/>
  </r>
  <r>
    <x v="0"/>
    <x v="3"/>
    <x v="5"/>
    <x v="3"/>
    <n v="2039"/>
    <n v="260"/>
    <n v="20"/>
    <n v="40780"/>
    <n v="4078"/>
    <n v="36702"/>
    <n v="20390"/>
    <n v="16312"/>
    <d v="2014-01-05T00:00:00"/>
    <n v="5"/>
    <s v=" May "/>
    <x v="0"/>
    <n v="0"/>
    <n v="0.4444444444444444"/>
    <n v="0.5555555555555556"/>
    <n v="0.1111111111111111"/>
    <n v="18"/>
    <n v="8"/>
    <x v="0"/>
  </r>
  <r>
    <x v="2"/>
    <x v="1"/>
    <x v="5"/>
    <x v="3"/>
    <n v="2574"/>
    <n v="260"/>
    <n v="12"/>
    <n v="30888"/>
    <n v="3088.8"/>
    <n v="27799.2"/>
    <n v="7722"/>
    <n v="20077.2"/>
    <d v="2014-01-08T00:00:00"/>
    <n v="8"/>
    <s v=" August "/>
    <x v="0"/>
    <n v="0"/>
    <n v="0.7222222222222222"/>
    <n v="0.2777777777777778"/>
    <n v="0.1111111111111111"/>
    <n v="10.8"/>
    <n v="7.800000000000001"/>
    <x v="0"/>
  </r>
  <r>
    <x v="0"/>
    <x v="0"/>
    <x v="5"/>
    <x v="3"/>
    <n v="707"/>
    <n v="260"/>
    <n v="350"/>
    <n v="247450"/>
    <n v="24745"/>
    <n v="222705"/>
    <n v="183820"/>
    <n v="38885"/>
    <d v="2014-01-09T00:00:00"/>
    <n v="9"/>
    <s v=" September "/>
    <x v="0"/>
    <n v="0"/>
    <n v="0.1746031746031746"/>
    <n v="0.8253968253968254"/>
    <n v="0.1111111111111111"/>
    <n v="315"/>
    <n v="55"/>
    <x v="0"/>
  </r>
  <r>
    <x v="1"/>
    <x v="2"/>
    <x v="5"/>
    <x v="3"/>
    <n v="2072"/>
    <n v="260"/>
    <n v="15"/>
    <n v="31080"/>
    <n v="3108"/>
    <n v="27972"/>
    <n v="20720"/>
    <n v="7252"/>
    <d v="2014-01-12T00:00:00"/>
    <n v="12"/>
    <s v=" December "/>
    <x v="0"/>
    <n v="0"/>
    <n v="0.2592592592592592"/>
    <n v="0.7407407407407407"/>
    <n v="0.1111111111111111"/>
    <n v="13.5"/>
    <n v="3.5"/>
    <x v="0"/>
  </r>
  <r>
    <x v="4"/>
    <x v="2"/>
    <x v="5"/>
    <x v="3"/>
    <n v="853"/>
    <n v="260"/>
    <n v="300"/>
    <n v="255900"/>
    <n v="25590"/>
    <n v="230310"/>
    <n v="213250"/>
    <n v="17060"/>
    <d v="2014-01-12T00:00:00"/>
    <n v="12"/>
    <s v=" December "/>
    <x v="0"/>
    <n v="0"/>
    <n v="0.07407407407407407"/>
    <n v="0.9259259259259259"/>
    <n v="0.1111111111111111"/>
    <n v="270"/>
    <n v="20"/>
    <x v="0"/>
  </r>
  <r>
    <x v="2"/>
    <x v="2"/>
    <x v="0"/>
    <x v="3"/>
    <n v="1198"/>
    <n v="3"/>
    <n v="12"/>
    <n v="14376"/>
    <n v="1581.36"/>
    <n v="12794.64"/>
    <n v="3594"/>
    <n v="9200.639999999999"/>
    <d v="2013-01-10T00:00:00"/>
    <n v="10"/>
    <s v=" October "/>
    <x v="1"/>
    <n v="0"/>
    <n v="0.7191011235955056"/>
    <n v="0.2808988764044944"/>
    <n v="0.1235955056179775"/>
    <n v="10.68"/>
    <n v="7.68"/>
    <x v="0"/>
  </r>
  <r>
    <x v="0"/>
    <x v="2"/>
    <x v="2"/>
    <x v="3"/>
    <n v="2532"/>
    <n v="10"/>
    <n v="7"/>
    <n v="17724"/>
    <n v="1949.64"/>
    <n v="15774.36"/>
    <n v="12660"/>
    <n v="3114.36"/>
    <d v="2014-01-04T00:00:00"/>
    <n v="4"/>
    <s v=" April "/>
    <x v="0"/>
    <n v="0"/>
    <n v="0.1974317817014446"/>
    <n v="0.8025682182985554"/>
    <n v="0.1235955056179775"/>
    <n v="6.23"/>
    <n v="1.23"/>
    <x v="0"/>
  </r>
  <r>
    <x v="2"/>
    <x v="2"/>
    <x v="2"/>
    <x v="3"/>
    <n v="1198"/>
    <n v="10"/>
    <n v="12"/>
    <n v="14376"/>
    <n v="1581.36"/>
    <n v="12794.64"/>
    <n v="3594"/>
    <n v="9200.639999999999"/>
    <d v="2013-01-10T00:00:00"/>
    <n v="10"/>
    <s v=" October "/>
    <x v="1"/>
    <n v="0"/>
    <n v="0.7191011235955056"/>
    <n v="0.2808988764044944"/>
    <n v="0.1235955056179775"/>
    <n v="10.68"/>
    <n v="7.68"/>
    <x v="0"/>
  </r>
  <r>
    <x v="1"/>
    <x v="0"/>
    <x v="3"/>
    <x v="3"/>
    <n v="384"/>
    <n v="120"/>
    <n v="15"/>
    <n v="5760"/>
    <n v="633.6"/>
    <n v="5126.4"/>
    <n v="3840"/>
    <n v="1286.4"/>
    <d v="2014-01-01T00:00:00"/>
    <n v="1"/>
    <s v=" January "/>
    <x v="0"/>
    <n v="0"/>
    <n v="0.250936329588015"/>
    <n v="0.7490636704119851"/>
    <n v="0.1235955056179775"/>
    <n v="13.35"/>
    <n v="3.35"/>
    <x v="0"/>
  </r>
  <r>
    <x v="2"/>
    <x v="1"/>
    <x v="3"/>
    <x v="3"/>
    <n v="472"/>
    <n v="120"/>
    <n v="12"/>
    <n v="5664"/>
    <n v="623.04"/>
    <n v="5040.96"/>
    <n v="1416"/>
    <n v="3624.96"/>
    <d v="2014-01-10T00:00:00"/>
    <n v="10"/>
    <s v=" October "/>
    <x v="0"/>
    <n v="0"/>
    <n v="0.7191011235955056"/>
    <n v="0.2808988764044944"/>
    <n v="0.1235955056179775"/>
    <n v="10.68"/>
    <n v="7.68"/>
    <x v="0"/>
  </r>
  <r>
    <x v="0"/>
    <x v="4"/>
    <x v="4"/>
    <x v="3"/>
    <n v="1579"/>
    <n v="250"/>
    <n v="7"/>
    <n v="11053"/>
    <n v="1215.83"/>
    <n v="9837.17"/>
    <n v="7895"/>
    <n v="1942.17"/>
    <d v="2014-01-03T00:00:00"/>
    <n v="3"/>
    <s v=" March "/>
    <x v="0"/>
    <n v="0"/>
    <n v="0.1974317817014446"/>
    <n v="0.8025682182985554"/>
    <n v="0.1235955056179775"/>
    <n v="6.23"/>
    <n v="1.23"/>
    <x v="0"/>
  </r>
  <r>
    <x v="2"/>
    <x v="3"/>
    <x v="4"/>
    <x v="3"/>
    <n v="1005"/>
    <n v="250"/>
    <n v="12"/>
    <n v="12060"/>
    <n v="1326.6"/>
    <n v="10733.4"/>
    <n v="3015"/>
    <n v="7718.4"/>
    <d v="2013-01-09T00:00:00"/>
    <n v="9"/>
    <s v=" September "/>
    <x v="1"/>
    <n v="0"/>
    <n v="0.7191011235955056"/>
    <n v="0.2808988764044944"/>
    <n v="0.1235955056179775"/>
    <n v="10.68"/>
    <n v="7.68"/>
    <x v="0"/>
  </r>
  <r>
    <x v="1"/>
    <x v="4"/>
    <x v="5"/>
    <x v="3"/>
    <n v="3199.5"/>
    <n v="260"/>
    <n v="15"/>
    <n v="47992.5"/>
    <n v="5279.18"/>
    <n v="42713.33"/>
    <n v="31995"/>
    <n v="10718.33"/>
    <d v="2014-01-07T00:00:00"/>
    <n v="7"/>
    <s v=" July "/>
    <x v="0"/>
    <n v="1"/>
    <n v="0.2509364172730152"/>
    <n v="0.7490635827269847"/>
    <n v="0.1235956082094278"/>
    <n v="13.35000156274418"/>
    <n v="3.350001562744179"/>
    <x v="0"/>
  </r>
  <r>
    <x v="2"/>
    <x v="1"/>
    <x v="5"/>
    <x v="3"/>
    <n v="472"/>
    <n v="260"/>
    <n v="12"/>
    <n v="5664"/>
    <n v="623.04"/>
    <n v="5040.96"/>
    <n v="1416"/>
    <n v="3624.96"/>
    <d v="2014-01-10T00:00:00"/>
    <n v="10"/>
    <s v=" October "/>
    <x v="0"/>
    <n v="0"/>
    <n v="0.7191011235955056"/>
    <n v="0.2808988764044944"/>
    <n v="0.1235955056179775"/>
    <n v="10.68"/>
    <n v="7.68"/>
    <x v="0"/>
  </r>
  <r>
    <x v="2"/>
    <x v="0"/>
    <x v="0"/>
    <x v="3"/>
    <n v="1937"/>
    <n v="3"/>
    <n v="12"/>
    <n v="23244"/>
    <n v="2556.84"/>
    <n v="20687.16"/>
    <n v="5811"/>
    <n v="14876.16"/>
    <d v="2014-01-02T00:00:00"/>
    <n v="2"/>
    <s v=" February "/>
    <x v="0"/>
    <n v="0"/>
    <n v="0.7191011235955056"/>
    <n v="0.2808988764044944"/>
    <n v="0.1235955056179775"/>
    <n v="10.68"/>
    <n v="7.68"/>
    <x v="0"/>
  </r>
  <r>
    <x v="0"/>
    <x v="1"/>
    <x v="0"/>
    <x v="3"/>
    <n v="792"/>
    <n v="3"/>
    <n v="350"/>
    <n v="277200"/>
    <n v="30492"/>
    <n v="246708"/>
    <n v="205920"/>
    <n v="40788"/>
    <d v="2014-01-03T00:00:00"/>
    <n v="3"/>
    <s v=" March "/>
    <x v="0"/>
    <n v="0"/>
    <n v="0.1653290529695024"/>
    <n v="0.8346709470304976"/>
    <n v="0.1235955056179775"/>
    <n v="311.5"/>
    <n v="51.5"/>
    <x v="0"/>
  </r>
  <r>
    <x v="4"/>
    <x v="1"/>
    <x v="0"/>
    <x v="3"/>
    <n v="2811"/>
    <n v="3"/>
    <n v="300"/>
    <n v="843300"/>
    <n v="92763"/>
    <n v="750537"/>
    <n v="702750"/>
    <n v="47787"/>
    <d v="2014-01-07T00:00:00"/>
    <n v="7"/>
    <s v=" July "/>
    <x v="0"/>
    <n v="0"/>
    <n v="0.06367041198501873"/>
    <n v="0.9363295880149812"/>
    <n v="0.1235955056179775"/>
    <n v="267"/>
    <n v="17"/>
    <x v="0"/>
  </r>
  <r>
    <x v="3"/>
    <x v="2"/>
    <x v="0"/>
    <x v="3"/>
    <n v="2441"/>
    <n v="3"/>
    <n v="125"/>
    <n v="305125"/>
    <n v="33563.75"/>
    <n v="271561.25"/>
    <n v="292920"/>
    <n v="-21358.75"/>
    <d v="2014-01-10T00:00:00"/>
    <n v="10"/>
    <s v=" October "/>
    <x v="0"/>
    <n v="0"/>
    <n v="-0.07865168539325842"/>
    <n v="1.078651685393258"/>
    <n v="0.1235955056179775"/>
    <n v="111.25"/>
    <n v="-8.75"/>
    <x v="1"/>
  </r>
  <r>
    <x v="1"/>
    <x v="0"/>
    <x v="0"/>
    <x v="3"/>
    <n v="1560"/>
    <n v="3"/>
    <n v="15"/>
    <n v="23400"/>
    <n v="2574"/>
    <n v="20826"/>
    <n v="15600"/>
    <n v="5226"/>
    <d v="2013-01-11T00:00:00"/>
    <n v="11"/>
    <s v=" November "/>
    <x v="1"/>
    <n v="0"/>
    <n v="0.250936329588015"/>
    <n v="0.7490636704119851"/>
    <n v="0.1235955056179775"/>
    <n v="13.35"/>
    <n v="3.35"/>
    <x v="0"/>
  </r>
  <r>
    <x v="0"/>
    <x v="3"/>
    <x v="0"/>
    <x v="3"/>
    <n v="2706"/>
    <n v="3"/>
    <n v="7"/>
    <n v="18942"/>
    <n v="2083.62"/>
    <n v="16858.38"/>
    <n v="13530"/>
    <n v="3328.38"/>
    <d v="2013-01-11T00:00:00"/>
    <n v="11"/>
    <s v=" November "/>
    <x v="1"/>
    <n v="0"/>
    <n v="0.1974317817014446"/>
    <n v="0.8025682182985553"/>
    <n v="0.1235955056179775"/>
    <n v="6.23"/>
    <n v="1.23"/>
    <x v="0"/>
  </r>
  <r>
    <x v="0"/>
    <x v="1"/>
    <x v="1"/>
    <x v="3"/>
    <n v="766"/>
    <n v="5"/>
    <n v="350"/>
    <n v="268100"/>
    <n v="29491"/>
    <n v="238609"/>
    <n v="199160"/>
    <n v="39449"/>
    <d v="2014-01-01T00:00:00"/>
    <n v="1"/>
    <s v=" January "/>
    <x v="0"/>
    <n v="0"/>
    <n v="0.1653290529695024"/>
    <n v="0.8346709470304976"/>
    <n v="0.1235955056179775"/>
    <n v="311.5"/>
    <n v="51.5"/>
    <x v="0"/>
  </r>
  <r>
    <x v="0"/>
    <x v="1"/>
    <x v="1"/>
    <x v="3"/>
    <n v="2992"/>
    <n v="5"/>
    <n v="20"/>
    <n v="59840"/>
    <n v="6582.4"/>
    <n v="53257.6"/>
    <n v="29920"/>
    <n v="23337.6"/>
    <d v="2013-01-10T00:00:00"/>
    <n v="10"/>
    <s v=" October "/>
    <x v="1"/>
    <n v="0"/>
    <n v="0.4382022471910112"/>
    <n v="0.5617977528089888"/>
    <n v="0.1235955056179775"/>
    <n v="17.8"/>
    <n v="7.8"/>
    <x v="0"/>
  </r>
  <r>
    <x v="1"/>
    <x v="3"/>
    <x v="1"/>
    <x v="3"/>
    <n v="2157"/>
    <n v="5"/>
    <n v="15"/>
    <n v="32355"/>
    <n v="3559.05"/>
    <n v="28795.95"/>
    <n v="21570"/>
    <n v="7225.95"/>
    <d v="2014-01-12T00:00:00"/>
    <n v="12"/>
    <s v=" December "/>
    <x v="0"/>
    <n v="0"/>
    <n v="0.250936329588015"/>
    <n v="0.749063670411985"/>
    <n v="0.1235955056179775"/>
    <n v="13.35"/>
    <n v="3.35"/>
    <x v="0"/>
  </r>
  <r>
    <x v="4"/>
    <x v="0"/>
    <x v="2"/>
    <x v="3"/>
    <n v="873"/>
    <n v="10"/>
    <n v="300"/>
    <n v="261900"/>
    <n v="28809"/>
    <n v="233091"/>
    <n v="218250"/>
    <n v="14841"/>
    <d v="2014-01-01T00:00:00"/>
    <n v="1"/>
    <s v=" January "/>
    <x v="0"/>
    <n v="0"/>
    <n v="0.06367041198501873"/>
    <n v="0.9363295880149812"/>
    <n v="0.1235955056179775"/>
    <n v="267"/>
    <n v="17"/>
    <x v="0"/>
  </r>
  <r>
    <x v="0"/>
    <x v="3"/>
    <x v="2"/>
    <x v="3"/>
    <n v="1122"/>
    <n v="10"/>
    <n v="20"/>
    <n v="22440"/>
    <n v="2468.4"/>
    <n v="19971.6"/>
    <n v="11220"/>
    <n v="8751.6"/>
    <d v="2014-01-03T00:00:00"/>
    <n v="3"/>
    <s v=" March "/>
    <x v="0"/>
    <n v="0"/>
    <n v="0.4382022471910113"/>
    <n v="0.5617977528089888"/>
    <n v="0.1235955056179775"/>
    <n v="17.8"/>
    <n v="7.800000000000001"/>
    <x v="0"/>
  </r>
  <r>
    <x v="0"/>
    <x v="0"/>
    <x v="2"/>
    <x v="3"/>
    <n v="2104.5"/>
    <n v="10"/>
    <n v="350"/>
    <n v="736575"/>
    <n v="81023.25"/>
    <n v="655551.75"/>
    <n v="547170"/>
    <n v="108381.75"/>
    <d v="2014-01-07T00:00:00"/>
    <n v="7"/>
    <s v=" July "/>
    <x v="0"/>
    <n v="1"/>
    <n v="0.1653290529695024"/>
    <n v="0.8346709470304976"/>
    <n v="0.1235955056179775"/>
    <n v="311.5"/>
    <n v="51.5"/>
    <x v="0"/>
  </r>
  <r>
    <x v="2"/>
    <x v="0"/>
    <x v="2"/>
    <x v="3"/>
    <n v="4026"/>
    <n v="10"/>
    <n v="12"/>
    <n v="48312"/>
    <n v="5314.32"/>
    <n v="42997.68"/>
    <n v="12078"/>
    <n v="30919.68"/>
    <d v="2014-01-07T00:00:00"/>
    <n v="7"/>
    <s v=" July "/>
    <x v="0"/>
    <n v="0"/>
    <n v="0.7191011235955056"/>
    <n v="0.2808988764044944"/>
    <n v="0.1235955056179775"/>
    <n v="10.68"/>
    <n v="7.68"/>
    <x v="0"/>
  </r>
  <r>
    <x v="2"/>
    <x v="2"/>
    <x v="2"/>
    <x v="3"/>
    <n v="2425.5"/>
    <n v="10"/>
    <n v="12"/>
    <n v="29106"/>
    <n v="3201.66"/>
    <n v="25904.34"/>
    <n v="7276.5"/>
    <n v="18627.84"/>
    <d v="2014-01-07T00:00:00"/>
    <n v="7"/>
    <s v=" July "/>
    <x v="0"/>
    <n v="1"/>
    <n v="0.7191011235955056"/>
    <n v="0.2808988764044944"/>
    <n v="0.1235955056179775"/>
    <n v="10.68"/>
    <n v="7.68"/>
    <x v="0"/>
  </r>
  <r>
    <x v="0"/>
    <x v="0"/>
    <x v="2"/>
    <x v="3"/>
    <n v="2394"/>
    <n v="10"/>
    <n v="20"/>
    <n v="47880"/>
    <n v="5266.8"/>
    <n v="42613.2"/>
    <n v="23940"/>
    <n v="18673.2"/>
    <d v="2014-01-08T00:00:00"/>
    <n v="8"/>
    <s v=" August "/>
    <x v="0"/>
    <n v="0"/>
    <n v="0.4382022471910113"/>
    <n v="0.5617977528089888"/>
    <n v="0.1235955056179775"/>
    <n v="17.8"/>
    <n v="7.800000000000001"/>
    <x v="0"/>
  </r>
  <r>
    <x v="1"/>
    <x v="3"/>
    <x v="2"/>
    <x v="3"/>
    <n v="1984"/>
    <n v="10"/>
    <n v="15"/>
    <n v="29760"/>
    <n v="3273.6"/>
    <n v="26486.4"/>
    <n v="19840"/>
    <n v="6646.4"/>
    <d v="2014-01-08T00:00:00"/>
    <n v="8"/>
    <s v=" August "/>
    <x v="0"/>
    <n v="0"/>
    <n v="0.2509363295880149"/>
    <n v="0.749063670411985"/>
    <n v="0.1235955056179775"/>
    <n v="13.35"/>
    <n v="3.35"/>
    <x v="0"/>
  </r>
  <r>
    <x v="3"/>
    <x v="2"/>
    <x v="2"/>
    <x v="3"/>
    <n v="2441"/>
    <n v="10"/>
    <n v="125"/>
    <n v="305125"/>
    <n v="33563.75"/>
    <n v="271561.25"/>
    <n v="292920"/>
    <n v="-21358.75"/>
    <d v="2014-01-10T00:00:00"/>
    <n v="10"/>
    <s v=" October "/>
    <x v="0"/>
    <n v="0"/>
    <n v="-0.07865168539325842"/>
    <n v="1.078651685393258"/>
    <n v="0.1235955056179775"/>
    <n v="111.25"/>
    <n v="-8.75"/>
    <x v="1"/>
  </r>
  <r>
    <x v="0"/>
    <x v="1"/>
    <x v="2"/>
    <x v="3"/>
    <n v="2992"/>
    <n v="10"/>
    <n v="20"/>
    <n v="59840"/>
    <n v="6582.4"/>
    <n v="53257.6"/>
    <n v="29920"/>
    <n v="23337.6"/>
    <d v="2013-01-10T00:00:00"/>
    <n v="10"/>
    <s v=" October "/>
    <x v="1"/>
    <n v="0"/>
    <n v="0.4382022471910112"/>
    <n v="0.5617977528089888"/>
    <n v="0.1235955056179775"/>
    <n v="17.8"/>
    <n v="7.8"/>
    <x v="0"/>
  </r>
  <r>
    <x v="4"/>
    <x v="0"/>
    <x v="2"/>
    <x v="3"/>
    <n v="1366"/>
    <n v="10"/>
    <n v="300"/>
    <n v="409800"/>
    <n v="45078"/>
    <n v="364722"/>
    <n v="341500"/>
    <n v="23222"/>
    <d v="2014-01-11T00:00:00"/>
    <n v="11"/>
    <s v=" November "/>
    <x v="0"/>
    <n v="0"/>
    <n v="0.06367041198501873"/>
    <n v="0.9363295880149812"/>
    <n v="0.1235955056179775"/>
    <n v="267"/>
    <n v="17"/>
    <x v="0"/>
  </r>
  <r>
    <x v="0"/>
    <x v="2"/>
    <x v="3"/>
    <x v="3"/>
    <n v="2805"/>
    <n v="120"/>
    <n v="20"/>
    <n v="56100"/>
    <n v="6171"/>
    <n v="49929"/>
    <n v="28050"/>
    <n v="21879"/>
    <d v="2013-01-09T00:00:00"/>
    <n v="9"/>
    <s v=" September "/>
    <x v="1"/>
    <n v="0"/>
    <n v="0.4382022471910113"/>
    <n v="0.5617977528089888"/>
    <n v="0.1235955056179775"/>
    <n v="17.8"/>
    <n v="7.8"/>
    <x v="0"/>
  </r>
  <r>
    <x v="1"/>
    <x v="3"/>
    <x v="3"/>
    <x v="3"/>
    <n v="655"/>
    <n v="120"/>
    <n v="15"/>
    <n v="9825"/>
    <n v="1080.75"/>
    <n v="8744.25"/>
    <n v="6550"/>
    <n v="2194.25"/>
    <d v="2013-01-09T00:00:00"/>
    <n v="9"/>
    <s v=" September "/>
    <x v="1"/>
    <n v="0"/>
    <n v="0.250936329588015"/>
    <n v="0.7490636704119851"/>
    <n v="0.1235955056179775"/>
    <n v="13.35"/>
    <n v="3.35"/>
    <x v="0"/>
  </r>
  <r>
    <x v="0"/>
    <x v="3"/>
    <x v="3"/>
    <x v="3"/>
    <n v="344"/>
    <n v="120"/>
    <n v="350"/>
    <n v="120400"/>
    <n v="13244"/>
    <n v="107156"/>
    <n v="89440"/>
    <n v="17716"/>
    <d v="2013-01-10T00:00:00"/>
    <n v="10"/>
    <s v=" October "/>
    <x v="1"/>
    <n v="0"/>
    <n v="0.1653290529695024"/>
    <n v="0.8346709470304976"/>
    <n v="0.1235955056179775"/>
    <n v="311.5"/>
    <n v="51.5"/>
    <x v="0"/>
  </r>
  <r>
    <x v="0"/>
    <x v="0"/>
    <x v="3"/>
    <x v="3"/>
    <n v="1808"/>
    <n v="120"/>
    <n v="7"/>
    <n v="12656"/>
    <n v="1392.16"/>
    <n v="11263.84"/>
    <n v="9040"/>
    <n v="2223.84"/>
    <d v="2014-01-11T00:00:00"/>
    <n v="11"/>
    <s v=" November "/>
    <x v="0"/>
    <n v="0"/>
    <n v="0.1974317817014446"/>
    <n v="0.8025682182985554"/>
    <n v="0.1235955056179775"/>
    <n v="6.23"/>
    <n v="1.23"/>
    <x v="0"/>
  </r>
  <r>
    <x v="2"/>
    <x v="2"/>
    <x v="4"/>
    <x v="3"/>
    <n v="1734"/>
    <n v="250"/>
    <n v="12"/>
    <n v="20808"/>
    <n v="2288.88"/>
    <n v="18519.12"/>
    <n v="5202"/>
    <n v="13317.12"/>
    <d v="2014-01-01T00:00:00"/>
    <n v="1"/>
    <s v=" January "/>
    <x v="0"/>
    <n v="0"/>
    <n v="0.7191011235955057"/>
    <n v="0.2808988764044944"/>
    <n v="0.1235955056179775"/>
    <n v="10.68"/>
    <n v="7.680000000000001"/>
    <x v="0"/>
  </r>
  <r>
    <x v="3"/>
    <x v="3"/>
    <x v="4"/>
    <x v="3"/>
    <n v="554"/>
    <n v="250"/>
    <n v="125"/>
    <n v="69250"/>
    <n v="7617.5"/>
    <n v="61632.5"/>
    <n v="66480"/>
    <n v="-4847.5"/>
    <d v="2014-01-01T00:00:00"/>
    <n v="1"/>
    <s v=" January "/>
    <x v="0"/>
    <n v="0"/>
    <n v="-0.07865168539325842"/>
    <n v="1.078651685393258"/>
    <n v="0.1235955056179775"/>
    <n v="111.25"/>
    <n v="-8.75"/>
    <x v="1"/>
  </r>
  <r>
    <x v="0"/>
    <x v="0"/>
    <x v="4"/>
    <x v="3"/>
    <n v="2935"/>
    <n v="250"/>
    <n v="20"/>
    <n v="58700"/>
    <n v="6457"/>
    <n v="52243"/>
    <n v="29350"/>
    <n v="22893"/>
    <d v="2013-01-11T00:00:00"/>
    <n v="11"/>
    <s v=" November "/>
    <x v="1"/>
    <n v="0"/>
    <n v="0.4382022471910113"/>
    <n v="0.5617977528089888"/>
    <n v="0.1235955056179775"/>
    <n v="17.8"/>
    <n v="7.8"/>
    <x v="0"/>
  </r>
  <r>
    <x v="3"/>
    <x v="1"/>
    <x v="5"/>
    <x v="3"/>
    <n v="3165"/>
    <n v="260"/>
    <n v="125"/>
    <n v="395625"/>
    <n v="43518.75"/>
    <n v="352106.25"/>
    <n v="379800"/>
    <n v="-27693.75"/>
    <d v="2014-01-01T00:00:00"/>
    <n v="1"/>
    <s v=" January "/>
    <x v="0"/>
    <n v="0"/>
    <n v="-0.07865168539325842"/>
    <n v="1.078651685393258"/>
    <n v="0.1235955056179775"/>
    <n v="111.25"/>
    <n v="-8.75"/>
    <x v="1"/>
  </r>
  <r>
    <x v="0"/>
    <x v="3"/>
    <x v="5"/>
    <x v="3"/>
    <n v="2629"/>
    <n v="260"/>
    <n v="20"/>
    <n v="52580"/>
    <n v="5783.8"/>
    <n v="46796.2"/>
    <n v="26290"/>
    <n v="20506.2"/>
    <d v="2014-01-01T00:00:00"/>
    <n v="1"/>
    <s v=" January "/>
    <x v="0"/>
    <n v="0"/>
    <n v="0.4382022471910113"/>
    <n v="0.5617977528089888"/>
    <n v="0.1235955056179775"/>
    <n v="17.8"/>
    <n v="7.800000000000001"/>
    <x v="0"/>
  </r>
  <r>
    <x v="3"/>
    <x v="2"/>
    <x v="5"/>
    <x v="3"/>
    <n v="1433"/>
    <n v="260"/>
    <n v="125"/>
    <n v="179125"/>
    <n v="19703.75"/>
    <n v="159421.25"/>
    <n v="171960"/>
    <n v="-12538.75"/>
    <d v="2014-01-05T00:00:00"/>
    <n v="5"/>
    <s v=" May "/>
    <x v="0"/>
    <n v="0"/>
    <n v="-0.07865168539325842"/>
    <n v="1.078651685393258"/>
    <n v="0.1235955056179775"/>
    <n v="111.25"/>
    <n v="-8.75"/>
    <x v="1"/>
  </r>
  <r>
    <x v="3"/>
    <x v="3"/>
    <x v="5"/>
    <x v="3"/>
    <n v="947"/>
    <n v="260"/>
    <n v="125"/>
    <n v="118375"/>
    <n v="13021.25"/>
    <n v="105353.75"/>
    <n v="113640"/>
    <n v="-8286.25"/>
    <d v="2013-01-09T00:00:00"/>
    <n v="9"/>
    <s v=" September "/>
    <x v="1"/>
    <n v="0"/>
    <n v="-0.07865168539325842"/>
    <n v="1.078651685393258"/>
    <n v="0.1235955056179775"/>
    <n v="111.25"/>
    <n v="-8.75"/>
    <x v="1"/>
  </r>
  <r>
    <x v="0"/>
    <x v="3"/>
    <x v="5"/>
    <x v="3"/>
    <n v="344"/>
    <n v="260"/>
    <n v="350"/>
    <n v="120400"/>
    <n v="13244"/>
    <n v="107156"/>
    <n v="89440"/>
    <n v="17716"/>
    <d v="2013-01-10T00:00:00"/>
    <n v="10"/>
    <s v=" October "/>
    <x v="1"/>
    <n v="0"/>
    <n v="0.1653290529695024"/>
    <n v="0.8346709470304976"/>
    <n v="0.1235955056179775"/>
    <n v="311.5"/>
    <n v="51.5"/>
    <x v="0"/>
  </r>
  <r>
    <x v="1"/>
    <x v="3"/>
    <x v="5"/>
    <x v="3"/>
    <n v="2157"/>
    <n v="260"/>
    <n v="15"/>
    <n v="32355"/>
    <n v="3559.05"/>
    <n v="28795.95"/>
    <n v="21570"/>
    <n v="7225.95"/>
    <d v="2014-01-12T00:00:00"/>
    <n v="12"/>
    <s v=" December "/>
    <x v="0"/>
    <n v="0"/>
    <n v="0.250936329588015"/>
    <n v="0.749063670411985"/>
    <n v="0.1235955056179775"/>
    <n v="13.35"/>
    <n v="3.35"/>
    <x v="0"/>
  </r>
  <r>
    <x v="0"/>
    <x v="4"/>
    <x v="2"/>
    <x v="3"/>
    <n v="380"/>
    <n v="10"/>
    <n v="7"/>
    <n v="2660"/>
    <n v="292.6"/>
    <n v="2367.4"/>
    <n v="1900"/>
    <n v="467.4"/>
    <d v="2013-01-09T00:00:00"/>
    <n v="9"/>
    <s v=" September "/>
    <x v="1"/>
    <n v="0"/>
    <n v="0.1974317817014446"/>
    <n v="0.8025682182985553"/>
    <n v="0.1235955056179775"/>
    <n v="6.23"/>
    <n v="1.23"/>
    <x v="0"/>
  </r>
  <r>
    <x v="0"/>
    <x v="3"/>
    <x v="0"/>
    <x v="3"/>
    <n v="886"/>
    <n v="3"/>
    <n v="350"/>
    <n v="310100"/>
    <n v="37212"/>
    <n v="272888"/>
    <n v="230360"/>
    <n v="42528"/>
    <d v="2014-01-06T00:00:00"/>
    <n v="6"/>
    <s v=" June "/>
    <x v="0"/>
    <n v="0"/>
    <n v="0.1558441558441558"/>
    <n v="0.8441558441558441"/>
    <n v="0.1363636363636364"/>
    <n v="308"/>
    <n v="48"/>
    <x v="0"/>
  </r>
  <r>
    <x v="3"/>
    <x v="0"/>
    <x v="0"/>
    <x v="3"/>
    <n v="2416"/>
    <n v="3"/>
    <n v="125"/>
    <n v="302000"/>
    <n v="36240"/>
    <n v="265760"/>
    <n v="289920"/>
    <n v="-24160"/>
    <d v="2013-01-09T00:00:00"/>
    <n v="9"/>
    <s v=" September "/>
    <x v="1"/>
    <n v="0"/>
    <n v="-0.09090909090909091"/>
    <n v="1.090909090909091"/>
    <n v="0.1363636363636364"/>
    <n v="110"/>
    <n v="-10"/>
    <x v="1"/>
  </r>
  <r>
    <x v="3"/>
    <x v="3"/>
    <x v="0"/>
    <x v="3"/>
    <n v="2156"/>
    <n v="3"/>
    <n v="125"/>
    <n v="269500"/>
    <n v="32340"/>
    <n v="237160"/>
    <n v="258720"/>
    <n v="-21560"/>
    <d v="2014-01-10T00:00:00"/>
    <n v="10"/>
    <s v=" October "/>
    <x v="0"/>
    <n v="0"/>
    <n v="-0.09090909090909091"/>
    <n v="1.090909090909091"/>
    <n v="0.1363636363636364"/>
    <n v="110"/>
    <n v="-10"/>
    <x v="1"/>
  </r>
  <r>
    <x v="1"/>
    <x v="0"/>
    <x v="0"/>
    <x v="3"/>
    <n v="2689"/>
    <n v="3"/>
    <n v="15"/>
    <n v="40335"/>
    <n v="4840.2"/>
    <n v="35494.8"/>
    <n v="26890"/>
    <n v="8604.799999999999"/>
    <d v="2014-01-11T00:00:00"/>
    <n v="11"/>
    <s v=" November "/>
    <x v="0"/>
    <n v="0"/>
    <n v="0.2424242424242424"/>
    <n v="0.7575757575757576"/>
    <n v="0.1363636363636364"/>
    <n v="13.2"/>
    <n v="3.2"/>
    <x v="0"/>
  </r>
  <r>
    <x v="1"/>
    <x v="4"/>
    <x v="1"/>
    <x v="3"/>
    <n v="677"/>
    <n v="5"/>
    <n v="15"/>
    <n v="10155"/>
    <n v="1218.6"/>
    <n v="8936.4"/>
    <n v="6770"/>
    <n v="2166.4"/>
    <d v="2014-01-03T00:00:00"/>
    <n v="3"/>
    <s v=" March "/>
    <x v="0"/>
    <n v="0"/>
    <n v="0.2424242424242424"/>
    <n v="0.7575757575757576"/>
    <n v="0.1363636363636364"/>
    <n v="13.2"/>
    <n v="3.2"/>
    <x v="0"/>
  </r>
  <r>
    <x v="4"/>
    <x v="2"/>
    <x v="1"/>
    <x v="3"/>
    <n v="1773"/>
    <n v="5"/>
    <n v="300"/>
    <n v="531900"/>
    <n v="63828"/>
    <n v="468072"/>
    <n v="443250"/>
    <n v="24822"/>
    <d v="2014-01-04T00:00:00"/>
    <n v="4"/>
    <s v=" April "/>
    <x v="0"/>
    <n v="0"/>
    <n v="0.05303030303030303"/>
    <n v="0.946969696969697"/>
    <n v="0.1363636363636364"/>
    <n v="264"/>
    <n v="14"/>
    <x v="0"/>
  </r>
  <r>
    <x v="0"/>
    <x v="3"/>
    <x v="1"/>
    <x v="3"/>
    <n v="2420"/>
    <n v="5"/>
    <n v="7"/>
    <n v="16940"/>
    <n v="2032.8"/>
    <n v="14907.2"/>
    <n v="12100"/>
    <n v="2807.2"/>
    <d v="2014-01-09T00:00:00"/>
    <n v="9"/>
    <s v=" September "/>
    <x v="0"/>
    <n v="0"/>
    <n v="0.1883116883116883"/>
    <n v="0.8116883116883117"/>
    <n v="0.1363636363636364"/>
    <n v="6.16"/>
    <n v="1.16"/>
    <x v="0"/>
  </r>
  <r>
    <x v="0"/>
    <x v="0"/>
    <x v="1"/>
    <x v="3"/>
    <n v="2734"/>
    <n v="5"/>
    <n v="7"/>
    <n v="19138"/>
    <n v="2296.56"/>
    <n v="16841.44"/>
    <n v="13670"/>
    <n v="3171.44"/>
    <d v="2014-01-10T00:00:00"/>
    <n v="10"/>
    <s v=" October "/>
    <x v="0"/>
    <n v="0"/>
    <n v="0.1883116883116883"/>
    <n v="0.8116883116883118"/>
    <n v="0.1363636363636364"/>
    <n v="6.159999999999999"/>
    <n v="1.16"/>
    <x v="0"/>
  </r>
  <r>
    <x v="0"/>
    <x v="3"/>
    <x v="1"/>
    <x v="3"/>
    <n v="1715"/>
    <n v="5"/>
    <n v="20"/>
    <n v="34300"/>
    <n v="4116"/>
    <n v="30184"/>
    <n v="17150"/>
    <n v="13034"/>
    <d v="2013-01-10T00:00:00"/>
    <n v="10"/>
    <s v=" October "/>
    <x v="1"/>
    <n v="0"/>
    <n v="0.4318181818181818"/>
    <n v="0.5681818181818182"/>
    <n v="0.1363636363636364"/>
    <n v="17.6"/>
    <n v="7.6"/>
    <x v="0"/>
  </r>
  <r>
    <x v="4"/>
    <x v="2"/>
    <x v="1"/>
    <x v="3"/>
    <n v="1186"/>
    <n v="5"/>
    <n v="300"/>
    <n v="355800"/>
    <n v="42696"/>
    <n v="313104"/>
    <n v="296500"/>
    <n v="16604"/>
    <d v="2013-01-12T00:00:00"/>
    <n v="12"/>
    <s v=" December "/>
    <x v="1"/>
    <n v="0"/>
    <n v="0.05303030303030303"/>
    <n v="0.946969696969697"/>
    <n v="0.1363636363636364"/>
    <n v="264"/>
    <n v="14"/>
    <x v="0"/>
  </r>
  <r>
    <x v="4"/>
    <x v="4"/>
    <x v="2"/>
    <x v="3"/>
    <n v="3495"/>
    <n v="10"/>
    <n v="300"/>
    <n v="1048500"/>
    <n v="125820"/>
    <n v="922680"/>
    <n v="873750"/>
    <n v="48930"/>
    <d v="2014-01-01T00:00:00"/>
    <n v="1"/>
    <s v=" January "/>
    <x v="0"/>
    <n v="0"/>
    <n v="0.05303030303030303"/>
    <n v="0.946969696969697"/>
    <n v="0.1363636363636364"/>
    <n v="264"/>
    <n v="14"/>
    <x v="0"/>
  </r>
  <r>
    <x v="0"/>
    <x v="3"/>
    <x v="2"/>
    <x v="3"/>
    <n v="886"/>
    <n v="10"/>
    <n v="350"/>
    <n v="310100"/>
    <n v="37212"/>
    <n v="272888"/>
    <n v="230360"/>
    <n v="42528"/>
    <d v="2014-01-06T00:00:00"/>
    <n v="6"/>
    <s v=" June "/>
    <x v="0"/>
    <n v="0"/>
    <n v="0.1558441558441558"/>
    <n v="0.8441558441558441"/>
    <n v="0.1363636363636364"/>
    <n v="308"/>
    <n v="48"/>
    <x v="0"/>
  </r>
  <r>
    <x v="3"/>
    <x v="3"/>
    <x v="2"/>
    <x v="3"/>
    <n v="2156"/>
    <n v="10"/>
    <n v="125"/>
    <n v="269500"/>
    <n v="32340"/>
    <n v="237160"/>
    <n v="258720"/>
    <n v="-21560"/>
    <d v="2014-01-10T00:00:00"/>
    <n v="10"/>
    <s v=" October "/>
    <x v="0"/>
    <n v="0"/>
    <n v="-0.09090909090909091"/>
    <n v="1.090909090909091"/>
    <n v="0.1363636363636364"/>
    <n v="110"/>
    <n v="-10"/>
    <x v="1"/>
  </r>
  <r>
    <x v="0"/>
    <x v="3"/>
    <x v="2"/>
    <x v="3"/>
    <n v="905"/>
    <n v="10"/>
    <n v="20"/>
    <n v="18100"/>
    <n v="2172"/>
    <n v="15928"/>
    <n v="9050"/>
    <n v="6878"/>
    <d v="2014-01-10T00:00:00"/>
    <n v="10"/>
    <s v=" October "/>
    <x v="0"/>
    <n v="0"/>
    <n v="0.4318181818181818"/>
    <n v="0.5681818181818182"/>
    <n v="0.1363636363636364"/>
    <n v="17.6"/>
    <n v="7.6"/>
    <x v="0"/>
  </r>
  <r>
    <x v="0"/>
    <x v="3"/>
    <x v="2"/>
    <x v="3"/>
    <n v="1715"/>
    <n v="10"/>
    <n v="20"/>
    <n v="34300"/>
    <n v="4116"/>
    <n v="30184"/>
    <n v="17150"/>
    <n v="13034"/>
    <d v="2013-01-10T00:00:00"/>
    <n v="10"/>
    <s v=" October "/>
    <x v="1"/>
    <n v="0"/>
    <n v="0.4318181818181818"/>
    <n v="0.5681818181818182"/>
    <n v="0.1363636363636364"/>
    <n v="17.6"/>
    <n v="7.6"/>
    <x v="0"/>
  </r>
  <r>
    <x v="0"/>
    <x v="2"/>
    <x v="2"/>
    <x v="3"/>
    <n v="1594"/>
    <n v="10"/>
    <n v="350"/>
    <n v="557900"/>
    <n v="66948"/>
    <n v="490952"/>
    <n v="414440"/>
    <n v="76512"/>
    <d v="2014-01-11T00:00:00"/>
    <n v="11"/>
    <s v=" November "/>
    <x v="0"/>
    <n v="0"/>
    <n v="0.1558441558441558"/>
    <n v="0.8441558441558441"/>
    <n v="0.1363636363636364"/>
    <n v="308"/>
    <n v="48"/>
    <x v="0"/>
  </r>
  <r>
    <x v="4"/>
    <x v="1"/>
    <x v="2"/>
    <x v="3"/>
    <n v="1359"/>
    <n v="10"/>
    <n v="300"/>
    <n v="407700"/>
    <n v="48924"/>
    <n v="358776"/>
    <n v="339750"/>
    <n v="19026"/>
    <d v="2014-01-11T00:00:00"/>
    <n v="11"/>
    <s v=" November "/>
    <x v="0"/>
    <n v="0"/>
    <n v="0.05303030303030303"/>
    <n v="0.946969696969697"/>
    <n v="0.1363636363636364"/>
    <n v="264"/>
    <n v="14"/>
    <x v="0"/>
  </r>
  <r>
    <x v="4"/>
    <x v="3"/>
    <x v="2"/>
    <x v="3"/>
    <n v="2150"/>
    <n v="10"/>
    <n v="300"/>
    <n v="645000"/>
    <n v="77400"/>
    <n v="567600"/>
    <n v="537500"/>
    <n v="30100"/>
    <d v="2014-01-11T00:00:00"/>
    <n v="11"/>
    <s v=" November "/>
    <x v="0"/>
    <n v="0"/>
    <n v="0.05303030303030303"/>
    <n v="0.946969696969697"/>
    <n v="0.1363636363636364"/>
    <n v="264"/>
    <n v="14"/>
    <x v="0"/>
  </r>
  <r>
    <x v="0"/>
    <x v="3"/>
    <x v="2"/>
    <x v="3"/>
    <n v="1197"/>
    <n v="10"/>
    <n v="350"/>
    <n v="418950"/>
    <n v="50274"/>
    <n v="368676"/>
    <n v="311220"/>
    <n v="57456"/>
    <d v="2014-01-11T00:00:00"/>
    <n v="11"/>
    <s v=" November "/>
    <x v="0"/>
    <n v="0"/>
    <n v="0.1558441558441558"/>
    <n v="0.8441558441558441"/>
    <n v="0.1363636363636364"/>
    <n v="308"/>
    <n v="48"/>
    <x v="0"/>
  </r>
  <r>
    <x v="1"/>
    <x v="3"/>
    <x v="2"/>
    <x v="3"/>
    <n v="380"/>
    <n v="10"/>
    <n v="15"/>
    <n v="5700"/>
    <n v="684"/>
    <n v="5016"/>
    <n v="3800"/>
    <n v="1216"/>
    <d v="2013-01-12T00:00:00"/>
    <n v="12"/>
    <s v=" December "/>
    <x v="1"/>
    <n v="0"/>
    <n v="0.2424242424242424"/>
    <n v="0.7575757575757576"/>
    <n v="0.1363636363636364"/>
    <n v="13.2"/>
    <n v="3.2"/>
    <x v="0"/>
  </r>
  <r>
    <x v="0"/>
    <x v="3"/>
    <x v="2"/>
    <x v="3"/>
    <n v="1233"/>
    <n v="10"/>
    <n v="20"/>
    <n v="24660"/>
    <n v="2959.2"/>
    <n v="21700.8"/>
    <n v="12330"/>
    <n v="9370.799999999999"/>
    <d v="2014-01-12T00:00:00"/>
    <n v="12"/>
    <s v=" December "/>
    <x v="0"/>
    <n v="0"/>
    <n v="0.4318181818181818"/>
    <n v="0.5681818181818182"/>
    <n v="0.1363636363636364"/>
    <n v="17.6"/>
    <n v="7.6"/>
    <x v="0"/>
  </r>
  <r>
    <x v="0"/>
    <x v="3"/>
    <x v="3"/>
    <x v="3"/>
    <n v="1395"/>
    <n v="120"/>
    <n v="350"/>
    <n v="488250"/>
    <n v="58590"/>
    <n v="429660"/>
    <n v="362700"/>
    <n v="66960"/>
    <d v="2014-01-07T00:00:00"/>
    <n v="7"/>
    <s v=" July "/>
    <x v="0"/>
    <n v="0"/>
    <n v="0.1558441558441558"/>
    <n v="0.8441558441558441"/>
    <n v="0.1363636363636364"/>
    <n v="308"/>
    <n v="48"/>
    <x v="0"/>
  </r>
  <r>
    <x v="0"/>
    <x v="4"/>
    <x v="3"/>
    <x v="3"/>
    <n v="986"/>
    <n v="120"/>
    <n v="350"/>
    <n v="345100"/>
    <n v="41412"/>
    <n v="303688"/>
    <n v="256360"/>
    <n v="47328"/>
    <d v="2014-01-10T00:00:00"/>
    <n v="10"/>
    <s v=" October "/>
    <x v="0"/>
    <n v="0"/>
    <n v="0.1558441558441558"/>
    <n v="0.8441558441558441"/>
    <n v="0.1363636363636364"/>
    <n v="308"/>
    <n v="48"/>
    <x v="0"/>
  </r>
  <r>
    <x v="0"/>
    <x v="3"/>
    <x v="3"/>
    <x v="3"/>
    <n v="905"/>
    <n v="120"/>
    <n v="20"/>
    <n v="18100"/>
    <n v="2172"/>
    <n v="15928"/>
    <n v="9050"/>
    <n v="6878"/>
    <d v="2014-01-10T00:00:00"/>
    <n v="10"/>
    <s v=" October "/>
    <x v="0"/>
    <n v="0"/>
    <n v="0.4318181818181818"/>
    <n v="0.5681818181818182"/>
    <n v="0.1363636363636364"/>
    <n v="17.6"/>
    <n v="7.6"/>
    <x v="0"/>
  </r>
  <r>
    <x v="2"/>
    <x v="0"/>
    <x v="4"/>
    <x v="3"/>
    <n v="2109"/>
    <n v="250"/>
    <n v="12"/>
    <n v="25308"/>
    <n v="3036.96"/>
    <n v="22271.04"/>
    <n v="6327"/>
    <n v="15944.04"/>
    <d v="2014-01-05T00:00:00"/>
    <n v="5"/>
    <s v=" May "/>
    <x v="0"/>
    <n v="0"/>
    <n v="0.7159090909090909"/>
    <n v="0.2840909090909091"/>
    <n v="0.1363636363636364"/>
    <n v="10.56"/>
    <n v="7.56"/>
    <x v="0"/>
  </r>
  <r>
    <x v="1"/>
    <x v="2"/>
    <x v="4"/>
    <x v="3"/>
    <n v="3874.5"/>
    <n v="250"/>
    <n v="15"/>
    <n v="58117.5"/>
    <n v="6974.1"/>
    <n v="51143.4"/>
    <n v="38745"/>
    <n v="12398.4"/>
    <d v="2014-01-07T00:00:00"/>
    <n v="7"/>
    <s v=" July "/>
    <x v="0"/>
    <n v="1"/>
    <n v="0.2424242424242424"/>
    <n v="0.7575757575757576"/>
    <n v="0.1363636363636364"/>
    <n v="13.2"/>
    <n v="3.2"/>
    <x v="0"/>
  </r>
  <r>
    <x v="0"/>
    <x v="0"/>
    <x v="4"/>
    <x v="3"/>
    <n v="623"/>
    <n v="250"/>
    <n v="350"/>
    <n v="218050"/>
    <n v="26166"/>
    <n v="191884"/>
    <n v="161980"/>
    <n v="29904"/>
    <d v="2013-01-09T00:00:00"/>
    <n v="9"/>
    <s v=" September "/>
    <x v="1"/>
    <n v="0"/>
    <n v="0.1558441558441558"/>
    <n v="0.8441558441558441"/>
    <n v="0.1363636363636364"/>
    <n v="308"/>
    <n v="48"/>
    <x v="0"/>
  </r>
  <r>
    <x v="0"/>
    <x v="4"/>
    <x v="4"/>
    <x v="3"/>
    <n v="986"/>
    <n v="250"/>
    <n v="350"/>
    <n v="345100"/>
    <n v="41412"/>
    <n v="303688"/>
    <n v="256360"/>
    <n v="47328"/>
    <d v="2014-01-10T00:00:00"/>
    <n v="10"/>
    <s v=" October "/>
    <x v="0"/>
    <n v="0"/>
    <n v="0.1558441558441558"/>
    <n v="0.8441558441558441"/>
    <n v="0.1363636363636364"/>
    <n v="308"/>
    <n v="48"/>
    <x v="0"/>
  </r>
  <r>
    <x v="3"/>
    <x v="4"/>
    <x v="4"/>
    <x v="3"/>
    <n v="2387"/>
    <n v="250"/>
    <n v="125"/>
    <n v="298375"/>
    <n v="35805"/>
    <n v="262570"/>
    <n v="286440"/>
    <n v="-23870"/>
    <d v="2014-01-11T00:00:00"/>
    <n v="11"/>
    <s v=" November "/>
    <x v="0"/>
    <n v="0"/>
    <n v="-0.09090909090909091"/>
    <n v="1.090909090909091"/>
    <n v="0.1363636363636364"/>
    <n v="110"/>
    <n v="-10"/>
    <x v="1"/>
  </r>
  <r>
    <x v="0"/>
    <x v="3"/>
    <x v="4"/>
    <x v="3"/>
    <n v="1233"/>
    <n v="250"/>
    <n v="20"/>
    <n v="24660"/>
    <n v="2959.2"/>
    <n v="21700.8"/>
    <n v="12330"/>
    <n v="9370.799999999999"/>
    <d v="2014-01-12T00:00:00"/>
    <n v="12"/>
    <s v=" December "/>
    <x v="0"/>
    <n v="0"/>
    <n v="0.4318181818181818"/>
    <n v="0.5681818181818182"/>
    <n v="0.1363636363636364"/>
    <n v="17.6"/>
    <n v="7.6"/>
    <x v="0"/>
  </r>
  <r>
    <x v="0"/>
    <x v="4"/>
    <x v="5"/>
    <x v="3"/>
    <n v="270"/>
    <n v="260"/>
    <n v="350"/>
    <n v="94500"/>
    <n v="11340"/>
    <n v="83160"/>
    <n v="70200"/>
    <n v="12960"/>
    <d v="2014-01-02T00:00:00"/>
    <n v="2"/>
    <s v=" February "/>
    <x v="0"/>
    <n v="0"/>
    <n v="0.1558441558441558"/>
    <n v="0.8441558441558441"/>
    <n v="0.1363636363636364"/>
    <n v="308"/>
    <n v="48"/>
    <x v="0"/>
  </r>
  <r>
    <x v="0"/>
    <x v="2"/>
    <x v="5"/>
    <x v="3"/>
    <n v="3421.5"/>
    <n v="260"/>
    <n v="7"/>
    <n v="23950.5"/>
    <n v="2874.06"/>
    <n v="21076.44"/>
    <n v="17107.5"/>
    <n v="3968.94"/>
    <d v="2014-01-07T00:00:00"/>
    <n v="7"/>
    <s v=" July "/>
    <x v="0"/>
    <n v="1"/>
    <n v="0.1883116883116883"/>
    <n v="0.8116883116883118"/>
    <n v="0.1363636363636364"/>
    <n v="6.159999999999999"/>
    <n v="1.16"/>
    <x v="0"/>
  </r>
  <r>
    <x v="0"/>
    <x v="0"/>
    <x v="5"/>
    <x v="3"/>
    <n v="2734"/>
    <n v="260"/>
    <n v="7"/>
    <n v="19138"/>
    <n v="2296.56"/>
    <n v="16841.44"/>
    <n v="13670"/>
    <n v="3171.44"/>
    <d v="2014-01-10T00:00:00"/>
    <n v="10"/>
    <s v=" October "/>
    <x v="0"/>
    <n v="0"/>
    <n v="0.1883116883116883"/>
    <n v="0.8116883116883118"/>
    <n v="0.1363636363636364"/>
    <n v="6.159999999999999"/>
    <n v="1.16"/>
    <x v="0"/>
  </r>
  <r>
    <x v="1"/>
    <x v="4"/>
    <x v="5"/>
    <x v="3"/>
    <n v="2548"/>
    <n v="260"/>
    <n v="15"/>
    <n v="38220"/>
    <n v="4586.4"/>
    <n v="33633.6"/>
    <n v="25480"/>
    <n v="8153.6"/>
    <d v="2013-01-11T00:00:00"/>
    <n v="11"/>
    <s v=" November "/>
    <x v="1"/>
    <n v="0"/>
    <n v="0.2424242424242425"/>
    <n v="0.7575757575757576"/>
    <n v="0.1363636363636364"/>
    <n v="13.2"/>
    <n v="3.2"/>
    <x v="0"/>
  </r>
  <r>
    <x v="0"/>
    <x v="2"/>
    <x v="0"/>
    <x v="3"/>
    <n v="2521.5"/>
    <n v="3"/>
    <n v="20"/>
    <n v="50430"/>
    <n v="6051.6"/>
    <n v="44378.4"/>
    <n v="25215"/>
    <n v="19163.4"/>
    <d v="2014-01-01T00:00:00"/>
    <n v="1"/>
    <s v=" January "/>
    <x v="0"/>
    <n v="1"/>
    <n v="0.4318181818181818"/>
    <n v="0.5681818181818181"/>
    <n v="0.1363636363636364"/>
    <n v="17.6"/>
    <n v="7.600000000000001"/>
    <x v="0"/>
  </r>
  <r>
    <x v="2"/>
    <x v="3"/>
    <x v="1"/>
    <x v="3"/>
    <n v="2661"/>
    <n v="5"/>
    <n v="12"/>
    <n v="31932"/>
    <n v="3831.84"/>
    <n v="28100.16"/>
    <n v="7983"/>
    <n v="20117.16"/>
    <d v="2014-01-05T00:00:00"/>
    <n v="5"/>
    <s v=" May "/>
    <x v="0"/>
    <n v="0"/>
    <n v="0.7159090909090909"/>
    <n v="0.2840909090909091"/>
    <n v="0.1363636363636364"/>
    <n v="10.56"/>
    <n v="7.56"/>
    <x v="0"/>
  </r>
  <r>
    <x v="0"/>
    <x v="1"/>
    <x v="2"/>
    <x v="3"/>
    <n v="1531"/>
    <n v="10"/>
    <n v="20"/>
    <n v="30620"/>
    <n v="3674.4"/>
    <n v="26945.6"/>
    <n v="15310"/>
    <n v="11635.6"/>
    <d v="2014-01-12T00:00:00"/>
    <n v="12"/>
    <s v=" December "/>
    <x v="0"/>
    <n v="0"/>
    <n v="0.4318181818181819"/>
    <n v="0.5681818181818182"/>
    <n v="0.1363636363636364"/>
    <n v="17.6"/>
    <n v="7.600000000000001"/>
    <x v="0"/>
  </r>
  <r>
    <x v="0"/>
    <x v="2"/>
    <x v="4"/>
    <x v="3"/>
    <n v="1491"/>
    <n v="250"/>
    <n v="7"/>
    <n v="10437"/>
    <n v="1252.44"/>
    <n v="9184.559999999999"/>
    <n v="7455"/>
    <n v="1729.56"/>
    <d v="2014-01-03T00:00:00"/>
    <n v="3"/>
    <s v=" March "/>
    <x v="0"/>
    <n v="0"/>
    <n v="0.1883116883116883"/>
    <n v="0.8116883116883117"/>
    <n v="0.1363636363636364"/>
    <n v="6.159999999999999"/>
    <n v="1.16"/>
    <x v="0"/>
  </r>
  <r>
    <x v="0"/>
    <x v="1"/>
    <x v="4"/>
    <x v="3"/>
    <n v="1531"/>
    <n v="250"/>
    <n v="20"/>
    <n v="30620"/>
    <n v="3674.4"/>
    <n v="26945.6"/>
    <n v="15310"/>
    <n v="11635.6"/>
    <d v="2014-01-12T00:00:00"/>
    <n v="12"/>
    <s v=" December "/>
    <x v="0"/>
    <n v="0"/>
    <n v="0.4318181818181819"/>
    <n v="0.5681818181818182"/>
    <n v="0.1363636363636364"/>
    <n v="17.6"/>
    <n v="7.600000000000001"/>
    <x v="0"/>
  </r>
  <r>
    <x v="2"/>
    <x v="0"/>
    <x v="5"/>
    <x v="3"/>
    <n v="2761"/>
    <n v="260"/>
    <n v="12"/>
    <n v="33132"/>
    <n v="3975.84"/>
    <n v="29156.16"/>
    <n v="8283"/>
    <n v="20873.16"/>
    <d v="2013-01-09T00:00:00"/>
    <n v="9"/>
    <s v=" September "/>
    <x v="1"/>
    <n v="0"/>
    <n v="0.7159090909090909"/>
    <n v="0.2840909090909091"/>
    <n v="0.1363636363636364"/>
    <n v="10.56"/>
    <n v="7.56"/>
    <x v="0"/>
  </r>
  <r>
    <x v="1"/>
    <x v="4"/>
    <x v="0"/>
    <x v="3"/>
    <n v="2567"/>
    <n v="3"/>
    <n v="15"/>
    <n v="38505"/>
    <n v="5005.65"/>
    <n v="33499.35"/>
    <n v="25670"/>
    <n v="7829.35"/>
    <d v="2014-01-06T00:00:00"/>
    <n v="6"/>
    <s v=" June "/>
    <x v="0"/>
    <n v="0"/>
    <n v="0.2337164750957855"/>
    <n v="0.7662835249042146"/>
    <n v="0.1494252873563218"/>
    <n v="13.05"/>
    <n v="3.05"/>
    <x v="0"/>
  </r>
  <r>
    <x v="1"/>
    <x v="4"/>
    <x v="4"/>
    <x v="3"/>
    <n v="2567"/>
    <n v="250"/>
    <n v="15"/>
    <n v="38505"/>
    <n v="5005.65"/>
    <n v="33499.35"/>
    <n v="25670"/>
    <n v="7829.35"/>
    <d v="2014-01-06T00:00:00"/>
    <n v="6"/>
    <s v=" June "/>
    <x v="0"/>
    <n v="0"/>
    <n v="0.2337164750957855"/>
    <n v="0.7662835249042146"/>
    <n v="0.1494252873563218"/>
    <n v="13.05"/>
    <n v="3.05"/>
    <x v="0"/>
  </r>
  <r>
    <x v="0"/>
    <x v="0"/>
    <x v="0"/>
    <x v="3"/>
    <n v="923"/>
    <n v="3"/>
    <n v="350"/>
    <n v="323050"/>
    <n v="41996.5"/>
    <n v="281053.5"/>
    <n v="239980"/>
    <n v="41073.5"/>
    <d v="2014-01-03T00:00:00"/>
    <n v="3"/>
    <s v=" March "/>
    <x v="0"/>
    <n v="0"/>
    <n v="0.1461412151067323"/>
    <n v="0.8538587848932676"/>
    <n v="0.1494252873563219"/>
    <n v="304.5"/>
    <n v="44.5"/>
    <x v="0"/>
  </r>
  <r>
    <x v="0"/>
    <x v="2"/>
    <x v="0"/>
    <x v="3"/>
    <n v="1790"/>
    <n v="3"/>
    <n v="350"/>
    <n v="626500"/>
    <n v="81445"/>
    <n v="545055"/>
    <n v="465400"/>
    <n v="79655"/>
    <d v="2014-01-03T00:00:00"/>
    <n v="3"/>
    <s v=" March "/>
    <x v="0"/>
    <n v="0"/>
    <n v="0.1461412151067323"/>
    <n v="0.8538587848932676"/>
    <n v="0.1494252873563219"/>
    <n v="304.5"/>
    <n v="44.5"/>
    <x v="0"/>
  </r>
  <r>
    <x v="0"/>
    <x v="1"/>
    <x v="0"/>
    <x v="3"/>
    <n v="442"/>
    <n v="3"/>
    <n v="20"/>
    <n v="8840"/>
    <n v="1149.2"/>
    <n v="7690.8"/>
    <n v="4420"/>
    <n v="3270.8"/>
    <d v="2013-01-09T00:00:00"/>
    <n v="9"/>
    <s v=" September "/>
    <x v="1"/>
    <n v="0"/>
    <n v="0.4252873563218391"/>
    <n v="0.5747126436781609"/>
    <n v="0.1494252873563219"/>
    <n v="17.4"/>
    <n v="7.4"/>
    <x v="0"/>
  </r>
  <r>
    <x v="0"/>
    <x v="4"/>
    <x v="1"/>
    <x v="3"/>
    <n v="982.5"/>
    <n v="5"/>
    <n v="350"/>
    <n v="343875"/>
    <n v="44703.75"/>
    <n v="299171.25"/>
    <n v="255450"/>
    <n v="43721.25"/>
    <d v="2014-01-01T00:00:00"/>
    <n v="1"/>
    <s v=" January "/>
    <x v="0"/>
    <n v="1"/>
    <n v="0.1461412151067323"/>
    <n v="0.8538587848932676"/>
    <n v="0.1494252873563219"/>
    <n v="304.5"/>
    <n v="44.5"/>
    <x v="0"/>
  </r>
  <r>
    <x v="0"/>
    <x v="4"/>
    <x v="1"/>
    <x v="3"/>
    <n v="1298"/>
    <n v="5"/>
    <n v="7"/>
    <n v="9086"/>
    <n v="1181.18"/>
    <n v="7904.82"/>
    <n v="6490"/>
    <n v="1414.82"/>
    <d v="2014-01-02T00:00:00"/>
    <n v="2"/>
    <s v=" February "/>
    <x v="0"/>
    <n v="0"/>
    <n v="0.1789819376026273"/>
    <n v="0.8210180623973727"/>
    <n v="0.1494252873563219"/>
    <n v="6.09"/>
    <n v="1.09"/>
    <x v="0"/>
  </r>
  <r>
    <x v="2"/>
    <x v="3"/>
    <x v="1"/>
    <x v="3"/>
    <n v="604"/>
    <n v="5"/>
    <n v="12"/>
    <n v="7248"/>
    <n v="942.24"/>
    <n v="6305.76"/>
    <n v="1812"/>
    <n v="4493.76"/>
    <d v="2014-01-06T00:00:00"/>
    <n v="6"/>
    <s v=" June "/>
    <x v="0"/>
    <n v="0"/>
    <n v="0.7126436781609196"/>
    <n v="0.2873563218390804"/>
    <n v="0.1494252873563218"/>
    <n v="10.44"/>
    <n v="7.44"/>
    <x v="0"/>
  </r>
  <r>
    <x v="0"/>
    <x v="3"/>
    <x v="1"/>
    <x v="3"/>
    <n v="2255"/>
    <n v="5"/>
    <n v="20"/>
    <n v="45100"/>
    <n v="5863"/>
    <n v="39237"/>
    <n v="22550"/>
    <n v="16687"/>
    <d v="2014-01-07T00:00:00"/>
    <n v="7"/>
    <s v=" July "/>
    <x v="0"/>
    <n v="0"/>
    <n v="0.4252873563218391"/>
    <n v="0.5747126436781609"/>
    <n v="0.1494252873563219"/>
    <n v="17.4"/>
    <n v="7.4"/>
    <x v="0"/>
  </r>
  <r>
    <x v="0"/>
    <x v="0"/>
    <x v="1"/>
    <x v="3"/>
    <n v="1249"/>
    <n v="5"/>
    <n v="20"/>
    <n v="24980"/>
    <n v="3247.4"/>
    <n v="21732.6"/>
    <n v="12490"/>
    <n v="9242.6"/>
    <d v="2014-01-10T00:00:00"/>
    <n v="10"/>
    <s v=" October "/>
    <x v="0"/>
    <n v="0"/>
    <n v="0.4252873563218391"/>
    <n v="0.574712643678161"/>
    <n v="0.1494252873563219"/>
    <n v="17.4"/>
    <n v="7.4"/>
    <x v="0"/>
  </r>
  <r>
    <x v="0"/>
    <x v="4"/>
    <x v="2"/>
    <x v="3"/>
    <n v="1438.5"/>
    <n v="10"/>
    <n v="7"/>
    <n v="10069.5"/>
    <n v="1309.04"/>
    <n v="8760.469999999999"/>
    <n v="7192.5"/>
    <n v="1567.97"/>
    <d v="2014-01-01T00:00:00"/>
    <n v="1"/>
    <s v=" January "/>
    <x v="0"/>
    <n v="1"/>
    <n v="0.1789824061951014"/>
    <n v="0.8210175938048987"/>
    <n v="0.1494257728181251"/>
    <n v="6.090003475842892"/>
    <n v="1.090003475842892"/>
    <x v="0"/>
  </r>
  <r>
    <x v="4"/>
    <x v="1"/>
    <x v="2"/>
    <x v="3"/>
    <n v="807"/>
    <n v="10"/>
    <n v="300"/>
    <n v="242100"/>
    <n v="31473"/>
    <n v="210627"/>
    <n v="201750"/>
    <n v="8877"/>
    <d v="2014-01-01T00:00:00"/>
    <n v="1"/>
    <s v=" January "/>
    <x v="0"/>
    <n v="0"/>
    <n v="0.0421455938697318"/>
    <n v="0.9578544061302682"/>
    <n v="0.1494252873563219"/>
    <n v="261"/>
    <n v="11"/>
    <x v="0"/>
  </r>
  <r>
    <x v="0"/>
    <x v="4"/>
    <x v="2"/>
    <x v="3"/>
    <n v="2641"/>
    <n v="10"/>
    <n v="20"/>
    <n v="52820"/>
    <n v="6866.6"/>
    <n v="45953.4"/>
    <n v="26410"/>
    <n v="19543.4"/>
    <d v="2014-01-02T00:00:00"/>
    <n v="2"/>
    <s v=" February "/>
    <x v="0"/>
    <n v="0"/>
    <n v="0.4252873563218391"/>
    <n v="0.5747126436781609"/>
    <n v="0.1494252873563219"/>
    <n v="17.4"/>
    <n v="7.4"/>
    <x v="0"/>
  </r>
  <r>
    <x v="0"/>
    <x v="1"/>
    <x v="2"/>
    <x v="3"/>
    <n v="2708"/>
    <n v="10"/>
    <n v="20"/>
    <n v="54160"/>
    <n v="7040.8"/>
    <n v="47119.2"/>
    <n v="27080"/>
    <n v="20039.2"/>
    <d v="2014-01-02T00:00:00"/>
    <n v="2"/>
    <s v=" February "/>
    <x v="0"/>
    <n v="0"/>
    <n v="0.4252873563218391"/>
    <n v="0.574712643678161"/>
    <n v="0.1494252873563219"/>
    <n v="17.4"/>
    <n v="7.4"/>
    <x v="0"/>
  </r>
  <r>
    <x v="0"/>
    <x v="0"/>
    <x v="2"/>
    <x v="3"/>
    <n v="2632"/>
    <n v="10"/>
    <n v="350"/>
    <n v="921200"/>
    <n v="119756"/>
    <n v="801444"/>
    <n v="684320"/>
    <n v="117124"/>
    <d v="2014-01-06T00:00:00"/>
    <n v="6"/>
    <s v=" June "/>
    <x v="0"/>
    <n v="0"/>
    <n v="0.1461412151067323"/>
    <n v="0.8538587848932676"/>
    <n v="0.1494252873563219"/>
    <n v="304.5"/>
    <n v="44.5"/>
    <x v="0"/>
  </r>
  <r>
    <x v="3"/>
    <x v="0"/>
    <x v="2"/>
    <x v="3"/>
    <n v="1583"/>
    <n v="10"/>
    <n v="125"/>
    <n v="197875"/>
    <n v="25723.75"/>
    <n v="172151.25"/>
    <n v="189960"/>
    <n v="-17808.75"/>
    <d v="2014-01-06T00:00:00"/>
    <n v="6"/>
    <s v=" June "/>
    <x v="0"/>
    <n v="0"/>
    <n v="-0.103448275862069"/>
    <n v="1.103448275862069"/>
    <n v="0.1494252873563219"/>
    <n v="108.75"/>
    <n v="-11.25"/>
    <x v="1"/>
  </r>
  <r>
    <x v="2"/>
    <x v="3"/>
    <x v="2"/>
    <x v="3"/>
    <n v="571"/>
    <n v="10"/>
    <n v="12"/>
    <n v="6852"/>
    <n v="890.76"/>
    <n v="5961.24"/>
    <n v="1713"/>
    <n v="4248.24"/>
    <d v="2014-01-07T00:00:00"/>
    <n v="7"/>
    <s v=" July "/>
    <x v="0"/>
    <n v="0"/>
    <n v="0.7126436781609196"/>
    <n v="0.2873563218390805"/>
    <n v="0.1494252873563219"/>
    <n v="10.44"/>
    <n v="7.44"/>
    <x v="0"/>
  </r>
  <r>
    <x v="0"/>
    <x v="2"/>
    <x v="2"/>
    <x v="3"/>
    <n v="2696"/>
    <n v="10"/>
    <n v="7"/>
    <n v="18872"/>
    <n v="2453.36"/>
    <n v="16418.64"/>
    <n v="13480"/>
    <n v="2938.64"/>
    <d v="2014-01-08T00:00:00"/>
    <n v="8"/>
    <s v=" August "/>
    <x v="0"/>
    <n v="0"/>
    <n v="0.1789819376026273"/>
    <n v="0.8210180623973727"/>
    <n v="0.1494252873563219"/>
    <n v="6.09"/>
    <n v="1.09"/>
    <x v="0"/>
  </r>
  <r>
    <x v="1"/>
    <x v="0"/>
    <x v="2"/>
    <x v="3"/>
    <n v="1565"/>
    <n v="10"/>
    <n v="15"/>
    <n v="23475"/>
    <n v="3051.75"/>
    <n v="20423.25"/>
    <n v="15650"/>
    <n v="4773.25"/>
    <d v="2014-01-10T00:00:00"/>
    <n v="10"/>
    <s v=" October "/>
    <x v="0"/>
    <n v="0"/>
    <n v="0.2337164750957854"/>
    <n v="0.7662835249042146"/>
    <n v="0.1494252873563219"/>
    <n v="13.05"/>
    <n v="3.05"/>
    <x v="0"/>
  </r>
  <r>
    <x v="0"/>
    <x v="0"/>
    <x v="2"/>
    <x v="3"/>
    <n v="1249"/>
    <n v="10"/>
    <n v="20"/>
    <n v="24980"/>
    <n v="3247.4"/>
    <n v="21732.6"/>
    <n v="12490"/>
    <n v="9242.6"/>
    <d v="2014-01-10T00:00:00"/>
    <n v="10"/>
    <s v=" October "/>
    <x v="0"/>
    <n v="0"/>
    <n v="0.4252873563218391"/>
    <n v="0.574712643678161"/>
    <n v="0.1494252873563219"/>
    <n v="17.4"/>
    <n v="7.4"/>
    <x v="0"/>
  </r>
  <r>
    <x v="0"/>
    <x v="1"/>
    <x v="2"/>
    <x v="3"/>
    <n v="357"/>
    <n v="10"/>
    <n v="350"/>
    <n v="124950"/>
    <n v="16243.5"/>
    <n v="108706.5"/>
    <n v="92820"/>
    <n v="15886.5"/>
    <d v="2014-01-11T00:00:00"/>
    <n v="11"/>
    <s v=" November "/>
    <x v="0"/>
    <n v="0"/>
    <n v="0.1461412151067323"/>
    <n v="0.8538587848932676"/>
    <n v="0.1494252873563219"/>
    <n v="304.5"/>
    <n v="44.5"/>
    <x v="0"/>
  </r>
  <r>
    <x v="2"/>
    <x v="1"/>
    <x v="2"/>
    <x v="3"/>
    <n v="1013"/>
    <n v="10"/>
    <n v="12"/>
    <n v="12156"/>
    <n v="1580.28"/>
    <n v="10575.72"/>
    <n v="3039"/>
    <n v="7536.72"/>
    <d v="2014-01-12T00:00:00"/>
    <n v="12"/>
    <s v=" December "/>
    <x v="0"/>
    <n v="0"/>
    <n v="0.7126436781609196"/>
    <n v="0.2873563218390805"/>
    <n v="0.1494252873563219"/>
    <n v="10.44"/>
    <n v="7.44"/>
    <x v="0"/>
  </r>
  <r>
    <x v="1"/>
    <x v="2"/>
    <x v="3"/>
    <x v="3"/>
    <n v="3997.5"/>
    <n v="120"/>
    <n v="15"/>
    <n v="59962.5"/>
    <n v="7795.13"/>
    <n v="52167.38"/>
    <n v="39975"/>
    <n v="12192.38"/>
    <d v="2014-01-01T00:00:00"/>
    <n v="1"/>
    <s v=" January "/>
    <x v="0"/>
    <n v="1"/>
    <n v="0.2337165485404864"/>
    <n v="0.7662834514595136"/>
    <n v="0.1494253688799399"/>
    <n v="13.05000125078174"/>
    <n v="3.050001250781738"/>
    <x v="0"/>
  </r>
  <r>
    <x v="0"/>
    <x v="0"/>
    <x v="3"/>
    <x v="3"/>
    <n v="2632"/>
    <n v="120"/>
    <n v="350"/>
    <n v="921200"/>
    <n v="119756"/>
    <n v="801444"/>
    <n v="684320"/>
    <n v="117124"/>
    <d v="2014-01-06T00:00:00"/>
    <n v="6"/>
    <s v=" June "/>
    <x v="0"/>
    <n v="0"/>
    <n v="0.1461412151067323"/>
    <n v="0.8538587848932676"/>
    <n v="0.1494252873563219"/>
    <n v="304.5"/>
    <n v="44.5"/>
    <x v="0"/>
  </r>
  <r>
    <x v="0"/>
    <x v="2"/>
    <x v="3"/>
    <x v="3"/>
    <n v="1190"/>
    <n v="120"/>
    <n v="7"/>
    <n v="8330"/>
    <n v="1082.9"/>
    <n v="7247.1"/>
    <n v="5950"/>
    <n v="1297.1"/>
    <d v="2014-01-06T00:00:00"/>
    <n v="6"/>
    <s v=" June "/>
    <x v="0"/>
    <n v="0"/>
    <n v="0.1789819376026272"/>
    <n v="0.8210180623973727"/>
    <n v="0.1494252873563219"/>
    <n v="6.090000000000001"/>
    <n v="1.09"/>
    <x v="0"/>
  </r>
  <r>
    <x v="2"/>
    <x v="3"/>
    <x v="3"/>
    <x v="3"/>
    <n v="604"/>
    <n v="120"/>
    <n v="12"/>
    <n v="7248"/>
    <n v="942.24"/>
    <n v="6305.76"/>
    <n v="1812"/>
    <n v="4493.76"/>
    <d v="2014-01-06T00:00:00"/>
    <n v="6"/>
    <s v=" June "/>
    <x v="0"/>
    <n v="0"/>
    <n v="0.7126436781609196"/>
    <n v="0.2873563218390804"/>
    <n v="0.1494252873563218"/>
    <n v="10.44"/>
    <n v="7.44"/>
    <x v="0"/>
  </r>
  <r>
    <x v="1"/>
    <x v="1"/>
    <x v="3"/>
    <x v="3"/>
    <n v="660"/>
    <n v="120"/>
    <n v="15"/>
    <n v="9900"/>
    <n v="1287"/>
    <n v="8613"/>
    <n v="6600"/>
    <n v="2013"/>
    <d v="2013-01-09T00:00:00"/>
    <n v="9"/>
    <s v=" September "/>
    <x v="1"/>
    <n v="0"/>
    <n v="0.2337164750957854"/>
    <n v="0.7662835249042146"/>
    <n v="0.1494252873563219"/>
    <n v="13.05"/>
    <n v="3.05"/>
    <x v="0"/>
  </r>
  <r>
    <x v="2"/>
    <x v="3"/>
    <x v="3"/>
    <x v="3"/>
    <n v="410"/>
    <n v="120"/>
    <n v="12"/>
    <n v="4920"/>
    <n v="639.6"/>
    <n v="4280.4"/>
    <n v="1230"/>
    <n v="3050.4"/>
    <d v="2014-01-10T00:00:00"/>
    <n v="10"/>
    <s v=" October "/>
    <x v="0"/>
    <n v="0"/>
    <n v="0.7126436781609197"/>
    <n v="0.2873563218390805"/>
    <n v="0.1494252873563219"/>
    <n v="10.44"/>
    <n v="7.44"/>
    <x v="0"/>
  </r>
  <r>
    <x v="4"/>
    <x v="3"/>
    <x v="3"/>
    <x v="3"/>
    <n v="2605"/>
    <n v="120"/>
    <n v="300"/>
    <n v="781500"/>
    <n v="101595"/>
    <n v="679905"/>
    <n v="651250"/>
    <n v="28655"/>
    <d v="2013-01-11T00:00:00"/>
    <n v="11"/>
    <s v=" November "/>
    <x v="1"/>
    <n v="0"/>
    <n v="0.0421455938697318"/>
    <n v="0.9578544061302682"/>
    <n v="0.1494252873563219"/>
    <n v="261"/>
    <n v="11"/>
    <x v="0"/>
  </r>
  <r>
    <x v="2"/>
    <x v="1"/>
    <x v="3"/>
    <x v="3"/>
    <n v="1013"/>
    <n v="120"/>
    <n v="12"/>
    <n v="12156"/>
    <n v="1580.28"/>
    <n v="10575.72"/>
    <n v="3039"/>
    <n v="7536.72"/>
    <d v="2014-01-12T00:00:00"/>
    <n v="12"/>
    <s v=" December "/>
    <x v="0"/>
    <n v="0"/>
    <n v="0.7126436781609196"/>
    <n v="0.2873563218390805"/>
    <n v="0.1494252873563219"/>
    <n v="10.44"/>
    <n v="7.44"/>
    <x v="0"/>
  </r>
  <r>
    <x v="3"/>
    <x v="0"/>
    <x v="4"/>
    <x v="3"/>
    <n v="1583"/>
    <n v="250"/>
    <n v="125"/>
    <n v="197875"/>
    <n v="25723.75"/>
    <n v="172151.25"/>
    <n v="189960"/>
    <n v="-17808.75"/>
    <d v="2014-01-06T00:00:00"/>
    <n v="6"/>
    <s v=" June "/>
    <x v="0"/>
    <n v="0"/>
    <n v="-0.103448275862069"/>
    <n v="1.103448275862069"/>
    <n v="0.1494252873563219"/>
    <n v="108.75"/>
    <n v="-11.25"/>
    <x v="1"/>
  </r>
  <r>
    <x v="1"/>
    <x v="0"/>
    <x v="4"/>
    <x v="3"/>
    <n v="1565"/>
    <n v="250"/>
    <n v="15"/>
    <n v="23475"/>
    <n v="3051.75"/>
    <n v="20423.25"/>
    <n v="15650"/>
    <n v="4773.25"/>
    <d v="2014-01-10T00:00:00"/>
    <n v="10"/>
    <s v=" October "/>
    <x v="0"/>
    <n v="0"/>
    <n v="0.2337164750957854"/>
    <n v="0.7662835249042146"/>
    <n v="0.1494252873563219"/>
    <n v="13.05"/>
    <n v="3.05"/>
    <x v="0"/>
  </r>
  <r>
    <x v="3"/>
    <x v="0"/>
    <x v="5"/>
    <x v="3"/>
    <n v="1659"/>
    <n v="260"/>
    <n v="125"/>
    <n v="207375"/>
    <n v="26958.75"/>
    <n v="180416.25"/>
    <n v="199080"/>
    <n v="-18663.75"/>
    <d v="2014-01-01T00:00:00"/>
    <n v="1"/>
    <s v=" January "/>
    <x v="0"/>
    <n v="0"/>
    <n v="-0.103448275862069"/>
    <n v="1.103448275862069"/>
    <n v="0.1494252873563219"/>
    <n v="108.75"/>
    <n v="-11.25"/>
    <x v="1"/>
  </r>
  <r>
    <x v="0"/>
    <x v="2"/>
    <x v="5"/>
    <x v="3"/>
    <n v="1190"/>
    <n v="260"/>
    <n v="7"/>
    <n v="8330"/>
    <n v="1082.9"/>
    <n v="7247.1"/>
    <n v="5950"/>
    <n v="1297.1"/>
    <d v="2014-01-06T00:00:00"/>
    <n v="6"/>
    <s v=" June "/>
    <x v="0"/>
    <n v="0"/>
    <n v="0.1789819376026272"/>
    <n v="0.8210180623973727"/>
    <n v="0.1494252873563219"/>
    <n v="6.090000000000001"/>
    <n v="1.09"/>
    <x v="0"/>
  </r>
  <r>
    <x v="2"/>
    <x v="3"/>
    <x v="5"/>
    <x v="3"/>
    <n v="410"/>
    <n v="260"/>
    <n v="12"/>
    <n v="4920"/>
    <n v="639.6"/>
    <n v="4280.4"/>
    <n v="1230"/>
    <n v="3050.4"/>
    <d v="2014-01-10T00:00:00"/>
    <n v="10"/>
    <s v=" October "/>
    <x v="0"/>
    <n v="0"/>
    <n v="0.7126436781609197"/>
    <n v="0.2873563218390805"/>
    <n v="0.1494252873563219"/>
    <n v="10.44"/>
    <n v="7.44"/>
    <x v="0"/>
  </r>
  <r>
    <x v="2"/>
    <x v="1"/>
    <x v="5"/>
    <x v="3"/>
    <n v="1770"/>
    <n v="260"/>
    <n v="12"/>
    <n v="21240"/>
    <n v="2761.2"/>
    <n v="18478.8"/>
    <n v="5310"/>
    <n v="13168.8"/>
    <d v="2013-01-12T00:00:00"/>
    <n v="12"/>
    <s v=" December "/>
    <x v="1"/>
    <n v="0"/>
    <n v="0.7126436781609196"/>
    <n v="0.2873563218390805"/>
    <n v="0.1494252873563218"/>
    <n v="10.44"/>
    <n v="7.44"/>
    <x v="0"/>
  </r>
  <r>
    <x v="0"/>
    <x v="3"/>
    <x v="0"/>
    <x v="3"/>
    <n v="2579"/>
    <n v="3"/>
    <n v="20"/>
    <n v="51580"/>
    <n v="7221.2"/>
    <n v="44358.8"/>
    <n v="25790"/>
    <n v="18568.8"/>
    <d v="2014-01-04T00:00:00"/>
    <n v="4"/>
    <s v=" April "/>
    <x v="0"/>
    <n v="0"/>
    <n v="0.4186046511627907"/>
    <n v="0.5813953488372092"/>
    <n v="0.1627906976744186"/>
    <n v="17.2"/>
    <n v="7.199999999999999"/>
    <x v="0"/>
  </r>
  <r>
    <x v="0"/>
    <x v="4"/>
    <x v="0"/>
    <x v="3"/>
    <n v="1743"/>
    <n v="3"/>
    <n v="20"/>
    <n v="34860"/>
    <n v="4880.4"/>
    <n v="29979.6"/>
    <n v="17430"/>
    <n v="12549.6"/>
    <d v="2014-01-05T00:00:00"/>
    <n v="5"/>
    <s v=" May "/>
    <x v="0"/>
    <n v="0"/>
    <n v="0.4186046511627907"/>
    <n v="0.5813953488372093"/>
    <n v="0.1627906976744186"/>
    <n v="17.2"/>
    <n v="7.2"/>
    <x v="0"/>
  </r>
  <r>
    <x v="0"/>
    <x v="4"/>
    <x v="0"/>
    <x v="3"/>
    <n v="2996"/>
    <n v="3"/>
    <n v="7"/>
    <n v="20972"/>
    <n v="2936.08"/>
    <n v="18035.92"/>
    <n v="14980"/>
    <n v="3055.92"/>
    <d v="2013-01-10T00:00:00"/>
    <n v="10"/>
    <s v=" October "/>
    <x v="1"/>
    <n v="0"/>
    <n v="0.1694352159468439"/>
    <n v="0.8305647840531563"/>
    <n v="0.1627906976744186"/>
    <n v="6.02"/>
    <n v="1.02"/>
    <x v="0"/>
  </r>
  <r>
    <x v="0"/>
    <x v="1"/>
    <x v="0"/>
    <x v="3"/>
    <n v="280"/>
    <n v="3"/>
    <n v="7"/>
    <n v="1960"/>
    <n v="274.4"/>
    <n v="1685.6"/>
    <n v="1400"/>
    <n v="285.6"/>
    <d v="2014-01-12T00:00:00"/>
    <n v="12"/>
    <s v=" December "/>
    <x v="0"/>
    <n v="0"/>
    <n v="0.1694352159468439"/>
    <n v="0.8305647840531561"/>
    <n v="0.1627906976744186"/>
    <n v="6.02"/>
    <n v="1.02"/>
    <x v="0"/>
  </r>
  <r>
    <x v="0"/>
    <x v="2"/>
    <x v="1"/>
    <x v="3"/>
    <n v="293"/>
    <n v="5"/>
    <n v="7"/>
    <n v="2051"/>
    <n v="287.14"/>
    <n v="1763.86"/>
    <n v="1465"/>
    <n v="298.86"/>
    <d v="2014-01-02T00:00:00"/>
    <n v="2"/>
    <s v=" February "/>
    <x v="0"/>
    <n v="0"/>
    <n v="0.1694352159468439"/>
    <n v="0.8305647840531561"/>
    <n v="0.1627906976744186"/>
    <n v="6.02"/>
    <n v="1.02"/>
    <x v="0"/>
  </r>
  <r>
    <x v="0"/>
    <x v="4"/>
    <x v="1"/>
    <x v="3"/>
    <n v="2996"/>
    <n v="5"/>
    <n v="7"/>
    <n v="20972"/>
    <n v="2936.08"/>
    <n v="18035.92"/>
    <n v="14980"/>
    <n v="3055.92"/>
    <d v="2013-01-10T00:00:00"/>
    <n v="10"/>
    <s v=" October "/>
    <x v="1"/>
    <n v="0"/>
    <n v="0.1694352159468439"/>
    <n v="0.8305647840531563"/>
    <n v="0.1627906976744186"/>
    <n v="6.02"/>
    <n v="1.02"/>
    <x v="0"/>
  </r>
  <r>
    <x v="1"/>
    <x v="1"/>
    <x v="2"/>
    <x v="3"/>
    <n v="278"/>
    <n v="10"/>
    <n v="15"/>
    <n v="4170"/>
    <n v="583.8"/>
    <n v="3586.2"/>
    <n v="2780"/>
    <n v="806.2"/>
    <d v="2014-01-02T00:00:00"/>
    <n v="2"/>
    <s v=" February "/>
    <x v="0"/>
    <n v="0"/>
    <n v="0.2248062015503876"/>
    <n v="0.7751937984496124"/>
    <n v="0.1627906976744186"/>
    <n v="12.9"/>
    <n v="2.9"/>
    <x v="0"/>
  </r>
  <r>
    <x v="0"/>
    <x v="0"/>
    <x v="2"/>
    <x v="3"/>
    <n v="2428"/>
    <n v="10"/>
    <n v="20"/>
    <n v="48560"/>
    <n v="6798.4"/>
    <n v="41761.6"/>
    <n v="24280"/>
    <n v="17481.6"/>
    <d v="2014-01-03T00:00:00"/>
    <n v="3"/>
    <s v=" March "/>
    <x v="0"/>
    <n v="0"/>
    <n v="0.4186046511627907"/>
    <n v="0.5813953488372093"/>
    <n v="0.1627906976744186"/>
    <n v="17.2"/>
    <n v="7.199999999999999"/>
    <x v="0"/>
  </r>
  <r>
    <x v="1"/>
    <x v="4"/>
    <x v="2"/>
    <x v="3"/>
    <n v="1767"/>
    <n v="10"/>
    <n v="15"/>
    <n v="26505"/>
    <n v="3710.7"/>
    <n v="22794.3"/>
    <n v="17670"/>
    <n v="5124.3"/>
    <d v="2014-01-09T00:00:00"/>
    <n v="9"/>
    <s v=" September "/>
    <x v="0"/>
    <n v="0"/>
    <n v="0.2248062015503876"/>
    <n v="0.7751937984496124"/>
    <n v="0.1627906976744186"/>
    <n v="12.9"/>
    <n v="2.9"/>
    <x v="0"/>
  </r>
  <r>
    <x v="2"/>
    <x v="2"/>
    <x v="2"/>
    <x v="3"/>
    <n v="1393"/>
    <n v="10"/>
    <n v="12"/>
    <n v="16716"/>
    <n v="2340.24"/>
    <n v="14375.76"/>
    <n v="4179"/>
    <n v="10196.76"/>
    <d v="2014-01-10T00:00:00"/>
    <n v="10"/>
    <s v=" October "/>
    <x v="0"/>
    <n v="0"/>
    <n v="0.7093023255813954"/>
    <n v="0.2906976744186047"/>
    <n v="0.1627906976744186"/>
    <n v="10.32"/>
    <n v="7.32"/>
    <x v="0"/>
  </r>
  <r>
    <x v="0"/>
    <x v="1"/>
    <x v="4"/>
    <x v="3"/>
    <n v="280"/>
    <n v="250"/>
    <n v="7"/>
    <n v="1960"/>
    <n v="274.4"/>
    <n v="1685.6"/>
    <n v="1400"/>
    <n v="285.6"/>
    <d v="2014-01-12T00:00:00"/>
    <n v="12"/>
    <s v=" December "/>
    <x v="0"/>
    <n v="0"/>
    <n v="0.1694352159468439"/>
    <n v="0.8305647840531561"/>
    <n v="0.1627906976744186"/>
    <n v="6.02"/>
    <n v="1.02"/>
    <x v="0"/>
  </r>
  <r>
    <x v="2"/>
    <x v="2"/>
    <x v="5"/>
    <x v="3"/>
    <n v="1393"/>
    <n v="260"/>
    <n v="12"/>
    <n v="16716"/>
    <n v="2340.24"/>
    <n v="14375.76"/>
    <n v="4179"/>
    <n v="10196.76"/>
    <d v="2014-01-10T00:00:00"/>
    <n v="10"/>
    <s v=" October "/>
    <x v="0"/>
    <n v="0"/>
    <n v="0.7093023255813954"/>
    <n v="0.2906976744186047"/>
    <n v="0.1627906976744186"/>
    <n v="10.32"/>
    <n v="7.32"/>
    <x v="0"/>
  </r>
  <r>
    <x v="2"/>
    <x v="4"/>
    <x v="5"/>
    <x v="3"/>
    <n v="2015"/>
    <n v="260"/>
    <n v="12"/>
    <n v="24180"/>
    <n v="3385.2"/>
    <n v="20794.8"/>
    <n v="6045"/>
    <n v="14749.8"/>
    <d v="2013-01-12T00:00:00"/>
    <n v="12"/>
    <s v=" December "/>
    <x v="1"/>
    <n v="0"/>
    <n v="0.7093023255813954"/>
    <n v="0.2906976744186047"/>
    <n v="0.1627906976744186"/>
    <n v="10.32"/>
    <n v="7.319999999999999"/>
    <x v="0"/>
  </r>
  <r>
    <x v="4"/>
    <x v="3"/>
    <x v="0"/>
    <x v="3"/>
    <n v="801"/>
    <n v="3"/>
    <n v="300"/>
    <n v="240300"/>
    <n v="33642"/>
    <n v="206658"/>
    <n v="200250"/>
    <n v="6408"/>
    <d v="2014-01-07T00:00:00"/>
    <n v="7"/>
    <s v=" July "/>
    <x v="0"/>
    <n v="0"/>
    <n v="0.0310077519379845"/>
    <n v="0.9689922480620154"/>
    <n v="0.1627906976744186"/>
    <n v="258"/>
    <n v="8"/>
    <x v="0"/>
  </r>
  <r>
    <x v="3"/>
    <x v="2"/>
    <x v="0"/>
    <x v="3"/>
    <n v="1023"/>
    <n v="3"/>
    <n v="125"/>
    <n v="127875"/>
    <n v="17902.5"/>
    <n v="109972.5"/>
    <n v="122760"/>
    <n v="-12787.5"/>
    <d v="2013-01-09T00:00:00"/>
    <n v="9"/>
    <s v=" September "/>
    <x v="1"/>
    <n v="0"/>
    <n v="-0.1162790697674419"/>
    <n v="1.116279069767442"/>
    <n v="0.1627906976744186"/>
    <n v="107.5"/>
    <n v="-12.5"/>
    <x v="1"/>
  </r>
  <r>
    <x v="4"/>
    <x v="0"/>
    <x v="0"/>
    <x v="3"/>
    <n v="1496"/>
    <n v="3"/>
    <n v="300"/>
    <n v="448800"/>
    <n v="62832"/>
    <n v="385968"/>
    <n v="374000"/>
    <n v="11968"/>
    <d v="2014-01-10T00:00:00"/>
    <n v="10"/>
    <s v=" October "/>
    <x v="0"/>
    <n v="0"/>
    <n v="0.0310077519379845"/>
    <n v="0.9689922480620154"/>
    <n v="0.1627906976744186"/>
    <n v="258"/>
    <n v="8"/>
    <x v="0"/>
  </r>
  <r>
    <x v="4"/>
    <x v="4"/>
    <x v="0"/>
    <x v="3"/>
    <n v="1010"/>
    <n v="3"/>
    <n v="300"/>
    <n v="303000"/>
    <n v="42420"/>
    <n v="260580"/>
    <n v="252500"/>
    <n v="8080"/>
    <d v="2014-01-10T00:00:00"/>
    <n v="10"/>
    <s v=" October "/>
    <x v="0"/>
    <n v="0"/>
    <n v="0.0310077519379845"/>
    <n v="0.9689922480620154"/>
    <n v="0.1627906976744186"/>
    <n v="258"/>
    <n v="8"/>
    <x v="0"/>
  </r>
  <r>
    <x v="1"/>
    <x v="1"/>
    <x v="0"/>
    <x v="3"/>
    <n v="1513"/>
    <n v="3"/>
    <n v="15"/>
    <n v="22695"/>
    <n v="3177.3"/>
    <n v="19517.7"/>
    <n v="15130"/>
    <n v="4387.7"/>
    <d v="2014-01-11T00:00:00"/>
    <n v="11"/>
    <s v=" November "/>
    <x v="0"/>
    <n v="0"/>
    <n v="0.2248062015503876"/>
    <n v="0.7751937984496123"/>
    <n v="0.1627906976744186"/>
    <n v="12.9"/>
    <n v="2.9"/>
    <x v="0"/>
  </r>
  <r>
    <x v="1"/>
    <x v="0"/>
    <x v="0"/>
    <x v="3"/>
    <n v="2300"/>
    <n v="3"/>
    <n v="15"/>
    <n v="34500"/>
    <n v="4830"/>
    <n v="29670"/>
    <n v="23000"/>
    <n v="6670"/>
    <d v="2014-01-12T00:00:00"/>
    <n v="12"/>
    <s v=" December "/>
    <x v="0"/>
    <n v="0"/>
    <n v="0.2248062015503876"/>
    <n v="0.7751937984496124"/>
    <n v="0.1627906976744186"/>
    <n v="12.9"/>
    <n v="2.9"/>
    <x v="0"/>
  </r>
  <r>
    <x v="3"/>
    <x v="3"/>
    <x v="0"/>
    <x v="3"/>
    <n v="2821"/>
    <n v="3"/>
    <n v="125"/>
    <n v="352625"/>
    <n v="49367.5"/>
    <n v="303257.5"/>
    <n v="338520"/>
    <n v="-35262.5"/>
    <d v="2013-01-12T00:00:00"/>
    <n v="12"/>
    <s v=" December "/>
    <x v="1"/>
    <n v="0"/>
    <n v="-0.1162790697674419"/>
    <n v="1.116279069767442"/>
    <n v="0.1627906976744186"/>
    <n v="107.5"/>
    <n v="-12.5"/>
    <x v="1"/>
  </r>
  <r>
    <x v="0"/>
    <x v="0"/>
    <x v="1"/>
    <x v="3"/>
    <n v="2227.5"/>
    <n v="5"/>
    <n v="350"/>
    <n v="779625"/>
    <n v="109147.5"/>
    <n v="670477.5"/>
    <n v="579150"/>
    <n v="91327.5"/>
    <d v="2014-01-01T00:00:00"/>
    <n v="1"/>
    <s v=" January "/>
    <x v="0"/>
    <n v="1"/>
    <n v="0.1362126245847176"/>
    <n v="0.8637873754152824"/>
    <n v="0.1627906976744186"/>
    <n v="301"/>
    <n v="41"/>
    <x v="0"/>
  </r>
  <r>
    <x v="0"/>
    <x v="1"/>
    <x v="1"/>
    <x v="3"/>
    <n v="1199"/>
    <n v="5"/>
    <n v="350"/>
    <n v="419650"/>
    <n v="58751"/>
    <n v="360899"/>
    <n v="311740"/>
    <n v="49159"/>
    <d v="2014-01-04T00:00:00"/>
    <n v="4"/>
    <s v=" April "/>
    <x v="0"/>
    <n v="0"/>
    <n v="0.1362126245847176"/>
    <n v="0.8637873754152824"/>
    <n v="0.1627906976744186"/>
    <n v="301"/>
    <n v="41"/>
    <x v="0"/>
  </r>
  <r>
    <x v="0"/>
    <x v="0"/>
    <x v="1"/>
    <x v="3"/>
    <n v="200"/>
    <n v="5"/>
    <n v="350"/>
    <n v="70000"/>
    <n v="9800"/>
    <n v="60200"/>
    <n v="52000"/>
    <n v="8200"/>
    <d v="2014-01-05T00:00:00"/>
    <n v="5"/>
    <s v=" May "/>
    <x v="0"/>
    <n v="0"/>
    <n v="0.1362126245847176"/>
    <n v="0.8637873754152824"/>
    <n v="0.1627906976744186"/>
    <n v="301"/>
    <n v="41"/>
    <x v="0"/>
  </r>
  <r>
    <x v="0"/>
    <x v="0"/>
    <x v="1"/>
    <x v="3"/>
    <n v="388"/>
    <n v="5"/>
    <n v="7"/>
    <n v="2716"/>
    <n v="380.24"/>
    <n v="2335.76"/>
    <n v="1940"/>
    <n v="395.76"/>
    <d v="2014-01-09T00:00:00"/>
    <n v="9"/>
    <s v=" September "/>
    <x v="0"/>
    <n v="0"/>
    <n v="0.1694352159468438"/>
    <n v="0.830564784053156"/>
    <n v="0.1627906976744186"/>
    <n v="6.02"/>
    <n v="1.02"/>
    <x v="0"/>
  </r>
  <r>
    <x v="0"/>
    <x v="3"/>
    <x v="1"/>
    <x v="3"/>
    <n v="1727"/>
    <n v="5"/>
    <n v="7"/>
    <n v="12089"/>
    <n v="1692.46"/>
    <n v="10396.54"/>
    <n v="8635"/>
    <n v="1761.54"/>
    <d v="2013-01-10T00:00:00"/>
    <n v="10"/>
    <s v=" October "/>
    <x v="1"/>
    <n v="0"/>
    <n v="0.1694352159468438"/>
    <n v="0.830564784053156"/>
    <n v="0.1627906976744186"/>
    <n v="6.02"/>
    <n v="1.02"/>
    <x v="0"/>
  </r>
  <r>
    <x v="1"/>
    <x v="0"/>
    <x v="1"/>
    <x v="3"/>
    <n v="2300"/>
    <n v="5"/>
    <n v="15"/>
    <n v="34500"/>
    <n v="4830"/>
    <n v="29670"/>
    <n v="23000"/>
    <n v="6670"/>
    <d v="2014-01-12T00:00:00"/>
    <n v="12"/>
    <s v=" December "/>
    <x v="0"/>
    <n v="0"/>
    <n v="0.2248062015503876"/>
    <n v="0.7751937984496124"/>
    <n v="0.1627906976744186"/>
    <n v="12.9"/>
    <n v="2.9"/>
    <x v="0"/>
  </r>
  <r>
    <x v="0"/>
    <x v="3"/>
    <x v="2"/>
    <x v="3"/>
    <n v="260"/>
    <n v="10"/>
    <n v="20"/>
    <n v="5200"/>
    <n v="728"/>
    <n v="4472"/>
    <n v="2600"/>
    <n v="1872"/>
    <d v="2014-01-02T00:00:00"/>
    <n v="2"/>
    <s v=" February "/>
    <x v="0"/>
    <n v="0"/>
    <n v="0.4186046511627907"/>
    <n v="0.5813953488372093"/>
    <n v="0.1627906976744186"/>
    <n v="17.2"/>
    <n v="7.2"/>
    <x v="0"/>
  </r>
  <r>
    <x v="1"/>
    <x v="0"/>
    <x v="2"/>
    <x v="3"/>
    <n v="2470"/>
    <n v="10"/>
    <n v="15"/>
    <n v="37050"/>
    <n v="5187"/>
    <n v="31863"/>
    <n v="24700"/>
    <n v="7163"/>
    <d v="2013-01-09T00:00:00"/>
    <n v="9"/>
    <s v=" September "/>
    <x v="1"/>
    <n v="0"/>
    <n v="0.2248062015503876"/>
    <n v="0.7751937984496124"/>
    <n v="0.1627906976744186"/>
    <n v="12.9"/>
    <n v="2.9"/>
    <x v="0"/>
  </r>
  <r>
    <x v="1"/>
    <x v="0"/>
    <x v="2"/>
    <x v="3"/>
    <n v="1743"/>
    <n v="10"/>
    <n v="15"/>
    <n v="26145"/>
    <n v="3660.3"/>
    <n v="22484.7"/>
    <n v="17430"/>
    <n v="5054.7"/>
    <d v="2013-01-10T00:00:00"/>
    <n v="10"/>
    <s v=" October "/>
    <x v="1"/>
    <n v="0"/>
    <n v="0.2248062015503876"/>
    <n v="0.7751937984496123"/>
    <n v="0.1627906976744186"/>
    <n v="12.9"/>
    <n v="2.9"/>
    <x v="0"/>
  </r>
  <r>
    <x v="2"/>
    <x v="4"/>
    <x v="2"/>
    <x v="3"/>
    <n v="2914"/>
    <n v="10"/>
    <n v="12"/>
    <n v="34968"/>
    <n v="4895.52"/>
    <n v="30072.48"/>
    <n v="8742"/>
    <n v="21330.48"/>
    <d v="2014-01-10T00:00:00"/>
    <n v="10"/>
    <s v=" October "/>
    <x v="0"/>
    <n v="0"/>
    <n v="0.7093023255813954"/>
    <n v="0.2906976744186047"/>
    <n v="0.1627906976744186"/>
    <n v="10.32"/>
    <n v="7.32"/>
    <x v="0"/>
  </r>
  <r>
    <x v="0"/>
    <x v="2"/>
    <x v="2"/>
    <x v="3"/>
    <n v="1731"/>
    <n v="10"/>
    <n v="7"/>
    <n v="12117"/>
    <n v="1696.38"/>
    <n v="10420.62"/>
    <n v="8655"/>
    <n v="1765.62"/>
    <d v="2014-01-10T00:00:00"/>
    <n v="10"/>
    <s v=" October "/>
    <x v="0"/>
    <n v="0"/>
    <n v="0.1694352159468438"/>
    <n v="0.830564784053156"/>
    <n v="0.1627906976744186"/>
    <n v="6.02"/>
    <n v="1.02"/>
    <x v="0"/>
  </r>
  <r>
    <x v="0"/>
    <x v="0"/>
    <x v="2"/>
    <x v="3"/>
    <n v="700"/>
    <n v="10"/>
    <n v="350"/>
    <n v="245000"/>
    <n v="34300"/>
    <n v="210700"/>
    <n v="182000"/>
    <n v="28700"/>
    <d v="2014-01-11T00:00:00"/>
    <n v="11"/>
    <s v=" November "/>
    <x v="0"/>
    <n v="0"/>
    <n v="0.1362126245847176"/>
    <n v="0.8637873754152824"/>
    <n v="0.1627906976744186"/>
    <n v="301"/>
    <n v="41"/>
    <x v="0"/>
  </r>
  <r>
    <x v="2"/>
    <x v="0"/>
    <x v="2"/>
    <x v="3"/>
    <n v="2222"/>
    <n v="10"/>
    <n v="12"/>
    <n v="26664"/>
    <n v="3732.96"/>
    <n v="22931.04"/>
    <n v="6666"/>
    <n v="16265.04"/>
    <d v="2013-01-11T00:00:00"/>
    <n v="11"/>
    <s v=" November "/>
    <x v="1"/>
    <n v="0"/>
    <n v="0.7093023255813954"/>
    <n v="0.2906976744186046"/>
    <n v="0.1627906976744186"/>
    <n v="10.32"/>
    <n v="7.32"/>
    <x v="0"/>
  </r>
  <r>
    <x v="0"/>
    <x v="4"/>
    <x v="2"/>
    <x v="3"/>
    <n v="1177"/>
    <n v="10"/>
    <n v="350"/>
    <n v="411950"/>
    <n v="57673"/>
    <n v="354277"/>
    <n v="306020"/>
    <n v="48257"/>
    <d v="2014-01-11T00:00:00"/>
    <n v="11"/>
    <s v=" November "/>
    <x v="0"/>
    <n v="0"/>
    <n v="0.1362126245847176"/>
    <n v="0.8637873754152824"/>
    <n v="0.1627906976744186"/>
    <n v="301"/>
    <n v="41"/>
    <x v="0"/>
  </r>
  <r>
    <x v="0"/>
    <x v="2"/>
    <x v="2"/>
    <x v="3"/>
    <n v="1922"/>
    <n v="10"/>
    <n v="350"/>
    <n v="672700"/>
    <n v="94178"/>
    <n v="578522"/>
    <n v="499720"/>
    <n v="78802"/>
    <d v="2013-01-11T00:00:00"/>
    <n v="11"/>
    <s v=" November "/>
    <x v="1"/>
    <n v="0"/>
    <n v="0.1362126245847176"/>
    <n v="0.8637873754152824"/>
    <n v="0.1627906976744186"/>
    <n v="301"/>
    <n v="41"/>
    <x v="0"/>
  </r>
  <r>
    <x v="3"/>
    <x v="3"/>
    <x v="3"/>
    <x v="3"/>
    <n v="1575"/>
    <n v="120"/>
    <n v="125"/>
    <n v="196875"/>
    <n v="27562.5"/>
    <n v="169312.5"/>
    <n v="189000"/>
    <n v="-19687.5"/>
    <d v="2014-01-02T00:00:00"/>
    <n v="2"/>
    <s v=" February "/>
    <x v="0"/>
    <n v="0"/>
    <n v="-0.1162790697674419"/>
    <n v="1.116279069767442"/>
    <n v="0.1627906976744186"/>
    <n v="107.5"/>
    <n v="-12.5"/>
    <x v="1"/>
  </r>
  <r>
    <x v="0"/>
    <x v="4"/>
    <x v="3"/>
    <x v="3"/>
    <n v="606"/>
    <n v="120"/>
    <n v="20"/>
    <n v="12120"/>
    <n v="1696.8"/>
    <n v="10423.2"/>
    <n v="6060"/>
    <n v="4363.2"/>
    <d v="2014-01-04T00:00:00"/>
    <n v="4"/>
    <s v=" April "/>
    <x v="0"/>
    <n v="0"/>
    <n v="0.4186046511627907"/>
    <n v="0.5813953488372092"/>
    <n v="0.1627906976744186"/>
    <n v="17.2"/>
    <n v="7.199999999999999"/>
    <x v="0"/>
  </r>
  <r>
    <x v="4"/>
    <x v="4"/>
    <x v="3"/>
    <x v="3"/>
    <n v="2460"/>
    <n v="120"/>
    <n v="300"/>
    <n v="738000"/>
    <n v="103320"/>
    <n v="634680"/>
    <n v="615000"/>
    <n v="19680"/>
    <d v="2014-01-07T00:00:00"/>
    <n v="7"/>
    <s v=" July "/>
    <x v="0"/>
    <n v="0"/>
    <n v="0.0310077519379845"/>
    <n v="0.9689922480620154"/>
    <n v="0.1627906976744186"/>
    <n v="258"/>
    <n v="8"/>
    <x v="0"/>
  </r>
  <r>
    <x v="4"/>
    <x v="0"/>
    <x v="3"/>
    <x v="3"/>
    <n v="269"/>
    <n v="120"/>
    <n v="300"/>
    <n v="80700"/>
    <n v="11298"/>
    <n v="69402"/>
    <n v="67250"/>
    <n v="2152"/>
    <d v="2013-01-10T00:00:00"/>
    <n v="10"/>
    <s v=" October "/>
    <x v="1"/>
    <n v="0"/>
    <n v="0.0310077519379845"/>
    <n v="0.9689922480620154"/>
    <n v="0.1627906976744186"/>
    <n v="258"/>
    <n v="8"/>
    <x v="0"/>
  </r>
  <r>
    <x v="4"/>
    <x v="1"/>
    <x v="3"/>
    <x v="3"/>
    <n v="2536"/>
    <n v="120"/>
    <n v="300"/>
    <n v="760800"/>
    <n v="106512"/>
    <n v="654288"/>
    <n v="634000"/>
    <n v="20288"/>
    <d v="2013-01-11T00:00:00"/>
    <n v="11"/>
    <s v=" November "/>
    <x v="1"/>
    <n v="0"/>
    <n v="0.0310077519379845"/>
    <n v="0.9689922480620154"/>
    <n v="0.1627906976744186"/>
    <n v="258"/>
    <n v="8"/>
    <x v="0"/>
  </r>
  <r>
    <x v="0"/>
    <x v="3"/>
    <x v="4"/>
    <x v="3"/>
    <n v="2903"/>
    <n v="250"/>
    <n v="7"/>
    <n v="20321"/>
    <n v="2844.94"/>
    <n v="17476.06"/>
    <n v="14515"/>
    <n v="2961.06"/>
    <d v="2014-01-03T00:00:00"/>
    <n v="3"/>
    <s v=" March "/>
    <x v="0"/>
    <n v="0"/>
    <n v="0.1694352159468438"/>
    <n v="0.830564784053156"/>
    <n v="0.1627906976744186"/>
    <n v="6.02"/>
    <n v="1.02"/>
    <x v="0"/>
  </r>
  <r>
    <x v="4"/>
    <x v="4"/>
    <x v="4"/>
    <x v="3"/>
    <n v="2541"/>
    <n v="250"/>
    <n v="300"/>
    <n v="762300"/>
    <n v="106722"/>
    <n v="655578"/>
    <n v="635250"/>
    <n v="20328"/>
    <d v="2014-01-08T00:00:00"/>
    <n v="8"/>
    <s v=" August "/>
    <x v="0"/>
    <n v="0"/>
    <n v="0.0310077519379845"/>
    <n v="0.9689922480620154"/>
    <n v="0.1627906976744186"/>
    <n v="258"/>
    <n v="8"/>
    <x v="0"/>
  </r>
  <r>
    <x v="4"/>
    <x v="0"/>
    <x v="4"/>
    <x v="3"/>
    <n v="269"/>
    <n v="250"/>
    <n v="300"/>
    <n v="80700"/>
    <n v="11298"/>
    <n v="69402"/>
    <n v="67250"/>
    <n v="2152"/>
    <d v="2013-01-10T00:00:00"/>
    <n v="10"/>
    <s v=" October "/>
    <x v="1"/>
    <n v="0"/>
    <n v="0.0310077519379845"/>
    <n v="0.9689922480620154"/>
    <n v="0.1627906976744186"/>
    <n v="258"/>
    <n v="8"/>
    <x v="0"/>
  </r>
  <r>
    <x v="4"/>
    <x v="0"/>
    <x v="4"/>
    <x v="3"/>
    <n v="1496"/>
    <n v="250"/>
    <n v="300"/>
    <n v="448800"/>
    <n v="62832"/>
    <n v="385968"/>
    <n v="374000"/>
    <n v="11968"/>
    <d v="2014-01-10T00:00:00"/>
    <n v="10"/>
    <s v=" October "/>
    <x v="0"/>
    <n v="0"/>
    <n v="0.0310077519379845"/>
    <n v="0.9689922480620154"/>
    <n v="0.1627906976744186"/>
    <n v="258"/>
    <n v="8"/>
    <x v="0"/>
  </r>
  <r>
    <x v="4"/>
    <x v="4"/>
    <x v="4"/>
    <x v="3"/>
    <n v="1010"/>
    <n v="250"/>
    <n v="300"/>
    <n v="303000"/>
    <n v="42420"/>
    <n v="260580"/>
    <n v="252500"/>
    <n v="8080"/>
    <d v="2014-01-10T00:00:00"/>
    <n v="10"/>
    <s v=" October "/>
    <x v="0"/>
    <n v="0"/>
    <n v="0.0310077519379845"/>
    <n v="0.9689922480620154"/>
    <n v="0.1627906976744186"/>
    <n v="258"/>
    <n v="8"/>
    <x v="0"/>
  </r>
  <r>
    <x v="0"/>
    <x v="2"/>
    <x v="4"/>
    <x v="3"/>
    <n v="1281"/>
    <n v="250"/>
    <n v="350"/>
    <n v="448350"/>
    <n v="62769"/>
    <n v="385581"/>
    <n v="333060"/>
    <n v="52521"/>
    <d v="2013-01-12T00:00:00"/>
    <n v="12"/>
    <s v=" December "/>
    <x v="1"/>
    <n v="0"/>
    <n v="0.1362126245847176"/>
    <n v="0.8637873754152824"/>
    <n v="0.1627906976744186"/>
    <n v="301"/>
    <n v="41"/>
    <x v="0"/>
  </r>
  <r>
    <x v="4"/>
    <x v="0"/>
    <x v="5"/>
    <x v="3"/>
    <n v="888"/>
    <n v="260"/>
    <n v="300"/>
    <n v="266400"/>
    <n v="37296"/>
    <n v="229104"/>
    <n v="222000"/>
    <n v="7104"/>
    <d v="2014-01-03T00:00:00"/>
    <n v="3"/>
    <s v=" March "/>
    <x v="0"/>
    <n v="0"/>
    <n v="0.0310077519379845"/>
    <n v="0.9689922480620154"/>
    <n v="0.1627906976744186"/>
    <n v="258"/>
    <n v="8"/>
    <x v="0"/>
  </r>
  <r>
    <x v="3"/>
    <x v="4"/>
    <x v="5"/>
    <x v="3"/>
    <n v="2844"/>
    <n v="260"/>
    <n v="125"/>
    <n v="355500"/>
    <n v="49770"/>
    <n v="305730"/>
    <n v="341280"/>
    <n v="-35550"/>
    <d v="2014-01-05T00:00:00"/>
    <n v="5"/>
    <s v=" May "/>
    <x v="0"/>
    <n v="0"/>
    <n v="-0.1162790697674419"/>
    <n v="1.116279069767442"/>
    <n v="0.1627906976744186"/>
    <n v="107.5"/>
    <n v="-12.5"/>
    <x v="1"/>
  </r>
  <r>
    <x v="2"/>
    <x v="2"/>
    <x v="5"/>
    <x v="3"/>
    <n v="2475"/>
    <n v="260"/>
    <n v="12"/>
    <n v="29700"/>
    <n v="4158"/>
    <n v="25542"/>
    <n v="7425"/>
    <n v="18117"/>
    <d v="2014-01-08T00:00:00"/>
    <n v="8"/>
    <s v=" August "/>
    <x v="0"/>
    <n v="0"/>
    <n v="0.7093023255813954"/>
    <n v="0.2906976744186047"/>
    <n v="0.1627906976744186"/>
    <n v="10.32"/>
    <n v="7.32"/>
    <x v="0"/>
  </r>
  <r>
    <x v="1"/>
    <x v="0"/>
    <x v="5"/>
    <x v="3"/>
    <n v="1743"/>
    <n v="260"/>
    <n v="15"/>
    <n v="26145"/>
    <n v="3660.3"/>
    <n v="22484.7"/>
    <n v="17430"/>
    <n v="5054.7"/>
    <d v="2013-01-10T00:00:00"/>
    <n v="10"/>
    <s v=" October "/>
    <x v="1"/>
    <n v="0"/>
    <n v="0.2248062015503876"/>
    <n v="0.7751937984496123"/>
    <n v="0.1627906976744186"/>
    <n v="12.9"/>
    <n v="2.9"/>
    <x v="0"/>
  </r>
  <r>
    <x v="2"/>
    <x v="4"/>
    <x v="5"/>
    <x v="3"/>
    <n v="2914"/>
    <n v="260"/>
    <n v="12"/>
    <n v="34968"/>
    <n v="4895.52"/>
    <n v="30072.48"/>
    <n v="8742"/>
    <n v="21330.48"/>
    <d v="2014-01-10T00:00:00"/>
    <n v="10"/>
    <s v=" October "/>
    <x v="0"/>
    <n v="0"/>
    <n v="0.7093023255813954"/>
    <n v="0.2906976744186047"/>
    <n v="0.1627906976744186"/>
    <n v="10.32"/>
    <n v="7.32"/>
    <x v="0"/>
  </r>
  <r>
    <x v="0"/>
    <x v="2"/>
    <x v="5"/>
    <x v="3"/>
    <n v="1731"/>
    <n v="260"/>
    <n v="7"/>
    <n v="12117"/>
    <n v="1696.38"/>
    <n v="10420.62"/>
    <n v="8655"/>
    <n v="1765.62"/>
    <d v="2014-01-10T00:00:00"/>
    <n v="10"/>
    <s v=" October "/>
    <x v="0"/>
    <n v="0"/>
    <n v="0.1694352159468438"/>
    <n v="0.830564784053156"/>
    <n v="0.1627906976744186"/>
    <n v="6.02"/>
    <n v="1.02"/>
    <x v="0"/>
  </r>
  <r>
    <x v="0"/>
    <x v="3"/>
    <x v="5"/>
    <x v="3"/>
    <n v="1727"/>
    <n v="260"/>
    <n v="7"/>
    <n v="12089"/>
    <n v="1692.46"/>
    <n v="10396.54"/>
    <n v="8635"/>
    <n v="1761.54"/>
    <d v="2013-01-10T00:00:00"/>
    <n v="10"/>
    <s v=" October "/>
    <x v="1"/>
    <n v="0"/>
    <n v="0.1694352159468438"/>
    <n v="0.830564784053156"/>
    <n v="0.1627906976744186"/>
    <n v="6.02"/>
    <n v="1.02"/>
    <x v="0"/>
  </r>
  <r>
    <x v="1"/>
    <x v="3"/>
    <x v="5"/>
    <x v="3"/>
    <n v="1870"/>
    <n v="260"/>
    <n v="15"/>
    <n v="28050"/>
    <n v="3927"/>
    <n v="24123"/>
    <n v="18700"/>
    <n v="5423"/>
    <d v="2013-01-11T00:00:00"/>
    <n v="11"/>
    <s v=" November "/>
    <x v="1"/>
    <n v="0"/>
    <n v="0.2248062015503876"/>
    <n v="0.7751937984496124"/>
    <n v="0.1627906976744186"/>
    <n v="12.9"/>
    <n v="2.9"/>
    <x v="0"/>
  </r>
  <r>
    <x v="3"/>
    <x v="2"/>
    <x v="0"/>
    <x v="3"/>
    <n v="1174"/>
    <n v="3"/>
    <n v="125"/>
    <n v="146750"/>
    <n v="22012.5"/>
    <n v="124737.5"/>
    <n v="140880"/>
    <n v="-16142.5"/>
    <d v="2014-01-08T00:00:00"/>
    <n v="8"/>
    <s v=" August "/>
    <x v="0"/>
    <n v="0"/>
    <n v="-0.1294117647058824"/>
    <n v="1.129411764705882"/>
    <n v="0.1764705882352941"/>
    <n v="106.25"/>
    <n v="-13.75"/>
    <x v="1"/>
  </r>
  <r>
    <x v="3"/>
    <x v="1"/>
    <x v="0"/>
    <x v="3"/>
    <n v="2767"/>
    <n v="3"/>
    <n v="125"/>
    <n v="345875"/>
    <n v="51881.25"/>
    <n v="293993.75"/>
    <n v="332040"/>
    <n v="-38046.25"/>
    <d v="2014-01-08T00:00:00"/>
    <n v="8"/>
    <s v=" August "/>
    <x v="0"/>
    <n v="0"/>
    <n v="-0.1294117647058824"/>
    <n v="1.129411764705882"/>
    <n v="0.1764705882352941"/>
    <n v="106.25"/>
    <n v="-13.75"/>
    <x v="1"/>
  </r>
  <r>
    <x v="3"/>
    <x v="1"/>
    <x v="0"/>
    <x v="3"/>
    <n v="1085"/>
    <n v="3"/>
    <n v="125"/>
    <n v="135625"/>
    <n v="20343.75"/>
    <n v="115281.25"/>
    <n v="130200"/>
    <n v="-14918.75"/>
    <d v="2014-01-10T00:00:00"/>
    <n v="10"/>
    <s v=" October "/>
    <x v="0"/>
    <n v="0"/>
    <n v="-0.1294117647058824"/>
    <n v="1.129411764705882"/>
    <n v="0.1764705882352941"/>
    <n v="106.25"/>
    <n v="-13.75"/>
    <x v="1"/>
  </r>
  <r>
    <x v="4"/>
    <x v="3"/>
    <x v="1"/>
    <x v="3"/>
    <n v="546"/>
    <n v="5"/>
    <n v="300"/>
    <n v="163800"/>
    <n v="24570"/>
    <n v="139230"/>
    <n v="136500"/>
    <n v="2730"/>
    <d v="2014-01-10T00:00:00"/>
    <n v="10"/>
    <s v=" October "/>
    <x v="0"/>
    <n v="0"/>
    <n v="0.0196078431372549"/>
    <n v="0.9803921568627451"/>
    <n v="0.1764705882352941"/>
    <n v="255"/>
    <n v="5"/>
    <x v="0"/>
  </r>
  <r>
    <x v="0"/>
    <x v="1"/>
    <x v="2"/>
    <x v="3"/>
    <n v="1158"/>
    <n v="10"/>
    <n v="20"/>
    <n v="23160"/>
    <n v="3474"/>
    <n v="19686"/>
    <n v="11580"/>
    <n v="8106"/>
    <d v="2014-01-03T00:00:00"/>
    <n v="3"/>
    <s v=" March "/>
    <x v="0"/>
    <n v="0"/>
    <n v="0.4117647058823529"/>
    <n v="0.5882352941176471"/>
    <n v="0.1764705882352941"/>
    <n v="17"/>
    <n v="7"/>
    <x v="0"/>
  </r>
  <r>
    <x v="1"/>
    <x v="0"/>
    <x v="2"/>
    <x v="3"/>
    <n v="1614"/>
    <n v="10"/>
    <n v="15"/>
    <n v="24210"/>
    <n v="3631.5"/>
    <n v="20578.5"/>
    <n v="16140"/>
    <n v="4438.5"/>
    <d v="2014-01-04T00:00:00"/>
    <n v="4"/>
    <s v=" April "/>
    <x v="0"/>
    <n v="0"/>
    <n v="0.2156862745098039"/>
    <n v="0.7843137254901961"/>
    <n v="0.1764705882352941"/>
    <n v="12.75"/>
    <n v="2.75"/>
    <x v="0"/>
  </r>
  <r>
    <x v="0"/>
    <x v="3"/>
    <x v="2"/>
    <x v="3"/>
    <n v="2535"/>
    <n v="10"/>
    <n v="7"/>
    <n v="17745"/>
    <n v="2661.75"/>
    <n v="15083.25"/>
    <n v="12675"/>
    <n v="2408.25"/>
    <d v="2014-01-04T00:00:00"/>
    <n v="4"/>
    <s v=" April "/>
    <x v="0"/>
    <n v="0"/>
    <n v="0.1596638655462185"/>
    <n v="0.8403361344537815"/>
    <n v="0.1764705882352941"/>
    <n v="5.95"/>
    <n v="0.95"/>
    <x v="0"/>
  </r>
  <r>
    <x v="0"/>
    <x v="3"/>
    <x v="2"/>
    <x v="3"/>
    <n v="2851"/>
    <n v="10"/>
    <n v="350"/>
    <n v="997850"/>
    <n v="149677.5"/>
    <n v="848172.5"/>
    <n v="741260"/>
    <n v="106912.5"/>
    <d v="2014-01-05T00:00:00"/>
    <n v="5"/>
    <s v=" May "/>
    <x v="0"/>
    <n v="0"/>
    <n v="0.1260504201680672"/>
    <n v="0.8739495798319328"/>
    <n v="0.1764705882352941"/>
    <n v="297.5"/>
    <n v="37.5"/>
    <x v="0"/>
  </r>
  <r>
    <x v="1"/>
    <x v="0"/>
    <x v="2"/>
    <x v="3"/>
    <n v="2559"/>
    <n v="10"/>
    <n v="15"/>
    <n v="38385"/>
    <n v="5757.75"/>
    <n v="32627.25"/>
    <n v="25590"/>
    <n v="7037.25"/>
    <d v="2014-01-08T00:00:00"/>
    <n v="8"/>
    <s v=" August "/>
    <x v="0"/>
    <n v="0"/>
    <n v="0.2156862745098039"/>
    <n v="0.7843137254901961"/>
    <n v="0.1764705882352941"/>
    <n v="12.75"/>
    <n v="2.75"/>
    <x v="0"/>
  </r>
  <r>
    <x v="0"/>
    <x v="4"/>
    <x v="2"/>
    <x v="3"/>
    <n v="267"/>
    <n v="10"/>
    <n v="20"/>
    <n v="5340"/>
    <n v="801"/>
    <n v="4539"/>
    <n v="2670"/>
    <n v="1869"/>
    <d v="2013-01-10T00:00:00"/>
    <n v="10"/>
    <s v=" October "/>
    <x v="1"/>
    <n v="0"/>
    <n v="0.4117647058823529"/>
    <n v="0.5882352941176471"/>
    <n v="0.1764705882352941"/>
    <n v="17"/>
    <n v="7"/>
    <x v="0"/>
  </r>
  <r>
    <x v="3"/>
    <x v="1"/>
    <x v="2"/>
    <x v="3"/>
    <n v="1085"/>
    <n v="10"/>
    <n v="125"/>
    <n v="135625"/>
    <n v="20343.75"/>
    <n v="115281.25"/>
    <n v="130200"/>
    <n v="-14918.75"/>
    <d v="2014-01-10T00:00:00"/>
    <n v="10"/>
    <s v=" October "/>
    <x v="0"/>
    <n v="0"/>
    <n v="-0.1294117647058824"/>
    <n v="1.129411764705882"/>
    <n v="0.1764705882352941"/>
    <n v="106.25"/>
    <n v="-13.75"/>
    <x v="1"/>
  </r>
  <r>
    <x v="1"/>
    <x v="1"/>
    <x v="2"/>
    <x v="3"/>
    <n v="1175"/>
    <n v="10"/>
    <n v="15"/>
    <n v="17625"/>
    <n v="2643.75"/>
    <n v="14981.25"/>
    <n v="11750"/>
    <n v="3231.25"/>
    <d v="2014-01-10T00:00:00"/>
    <n v="10"/>
    <s v=" October "/>
    <x v="0"/>
    <n v="0"/>
    <n v="0.2156862745098039"/>
    <n v="0.7843137254901961"/>
    <n v="0.1764705882352941"/>
    <n v="12.75"/>
    <n v="2.75"/>
    <x v="0"/>
  </r>
  <r>
    <x v="0"/>
    <x v="4"/>
    <x v="2"/>
    <x v="3"/>
    <n v="2007"/>
    <n v="10"/>
    <n v="350"/>
    <n v="702450"/>
    <n v="105367.5"/>
    <n v="597082.5"/>
    <n v="521820"/>
    <n v="75262.5"/>
    <d v="2013-01-11T00:00:00"/>
    <n v="11"/>
    <s v=" November "/>
    <x v="1"/>
    <n v="0"/>
    <n v="0.1260504201680672"/>
    <n v="0.8739495798319328"/>
    <n v="0.1764705882352941"/>
    <n v="297.5"/>
    <n v="37.5"/>
    <x v="0"/>
  </r>
  <r>
    <x v="0"/>
    <x v="3"/>
    <x v="2"/>
    <x v="3"/>
    <n v="2151"/>
    <n v="10"/>
    <n v="350"/>
    <n v="752850"/>
    <n v="112927.5"/>
    <n v="639922.5"/>
    <n v="559260"/>
    <n v="80662.5"/>
    <d v="2013-01-11T00:00:00"/>
    <n v="11"/>
    <s v=" November "/>
    <x v="1"/>
    <n v="0"/>
    <n v="0.1260504201680672"/>
    <n v="0.8739495798319328"/>
    <n v="0.1764705882352941"/>
    <n v="297.5"/>
    <n v="37.5"/>
    <x v="0"/>
  </r>
  <r>
    <x v="2"/>
    <x v="4"/>
    <x v="2"/>
    <x v="3"/>
    <n v="914"/>
    <n v="10"/>
    <n v="12"/>
    <n v="10968"/>
    <n v="1645.2"/>
    <n v="9322.799999999999"/>
    <n v="2742"/>
    <n v="6580.8"/>
    <d v="2014-01-12T00:00:00"/>
    <n v="12"/>
    <s v=" December "/>
    <x v="0"/>
    <n v="0"/>
    <n v="0.7058823529411765"/>
    <n v="0.2941176470588235"/>
    <n v="0.1764705882352941"/>
    <n v="10.2"/>
    <n v="7.2"/>
    <x v="0"/>
  </r>
  <r>
    <x v="0"/>
    <x v="2"/>
    <x v="2"/>
    <x v="3"/>
    <n v="293"/>
    <n v="10"/>
    <n v="20"/>
    <n v="5860"/>
    <n v="879"/>
    <n v="4981"/>
    <n v="2930"/>
    <n v="2051"/>
    <d v="2014-01-12T00:00:00"/>
    <n v="12"/>
    <s v=" December "/>
    <x v="0"/>
    <n v="0"/>
    <n v="0.4117647058823529"/>
    <n v="0.5882352941176471"/>
    <n v="0.1764705882352941"/>
    <n v="17"/>
    <n v="7"/>
    <x v="0"/>
  </r>
  <r>
    <x v="2"/>
    <x v="3"/>
    <x v="3"/>
    <x v="3"/>
    <n v="500"/>
    <n v="120"/>
    <n v="12"/>
    <n v="6000"/>
    <n v="900"/>
    <n v="5100"/>
    <n v="1500"/>
    <n v="3600"/>
    <d v="2014-01-03T00:00:00"/>
    <n v="3"/>
    <s v=" March "/>
    <x v="0"/>
    <n v="0"/>
    <n v="0.7058823529411765"/>
    <n v="0.2941176470588235"/>
    <n v="0.1764705882352941"/>
    <n v="10.2"/>
    <n v="7.2"/>
    <x v="0"/>
  </r>
  <r>
    <x v="1"/>
    <x v="2"/>
    <x v="3"/>
    <x v="3"/>
    <n v="2826"/>
    <n v="120"/>
    <n v="15"/>
    <n v="42390"/>
    <n v="6358.5"/>
    <n v="36031.5"/>
    <n v="28260"/>
    <n v="7771.5"/>
    <d v="2014-01-05T00:00:00"/>
    <n v="5"/>
    <s v=" May "/>
    <x v="0"/>
    <n v="0"/>
    <n v="0.2156862745098039"/>
    <n v="0.7843137254901961"/>
    <n v="0.1764705882352941"/>
    <n v="12.75"/>
    <n v="2.75"/>
    <x v="0"/>
  </r>
  <r>
    <x v="3"/>
    <x v="2"/>
    <x v="3"/>
    <x v="3"/>
    <n v="663"/>
    <n v="120"/>
    <n v="125"/>
    <n v="82875"/>
    <n v="12431.25"/>
    <n v="70443.75"/>
    <n v="79560"/>
    <n v="-9116.25"/>
    <d v="2014-01-09T00:00:00"/>
    <n v="9"/>
    <s v=" September "/>
    <x v="0"/>
    <n v="0"/>
    <n v="-0.1294117647058824"/>
    <n v="1.129411764705882"/>
    <n v="0.1764705882352941"/>
    <n v="106.25"/>
    <n v="-13.75"/>
    <x v="1"/>
  </r>
  <r>
    <x v="4"/>
    <x v="4"/>
    <x v="3"/>
    <x v="3"/>
    <n v="2574"/>
    <n v="120"/>
    <n v="300"/>
    <n v="772200"/>
    <n v="115830"/>
    <n v="656370"/>
    <n v="643500"/>
    <n v="12870"/>
    <d v="2013-01-11T00:00:00"/>
    <n v="11"/>
    <s v=" November "/>
    <x v="1"/>
    <n v="0"/>
    <n v="0.0196078431372549"/>
    <n v="0.9803921568627451"/>
    <n v="0.1764705882352941"/>
    <n v="255"/>
    <n v="5"/>
    <x v="0"/>
  </r>
  <r>
    <x v="3"/>
    <x v="4"/>
    <x v="3"/>
    <x v="3"/>
    <n v="2438"/>
    <n v="120"/>
    <n v="125"/>
    <n v="304750"/>
    <n v="45712.5"/>
    <n v="259037.5"/>
    <n v="292560"/>
    <n v="-33522.5"/>
    <d v="2013-01-12T00:00:00"/>
    <n v="12"/>
    <s v=" December "/>
    <x v="1"/>
    <n v="0"/>
    <n v="-0.1294117647058824"/>
    <n v="1.129411764705882"/>
    <n v="0.1764705882352941"/>
    <n v="106.25"/>
    <n v="-13.75"/>
    <x v="1"/>
  </r>
  <r>
    <x v="2"/>
    <x v="4"/>
    <x v="3"/>
    <x v="3"/>
    <n v="914"/>
    <n v="120"/>
    <n v="12"/>
    <n v="10968"/>
    <n v="1645.2"/>
    <n v="9322.799999999999"/>
    <n v="2742"/>
    <n v="6580.8"/>
    <d v="2014-01-12T00:00:00"/>
    <n v="12"/>
    <s v=" December "/>
    <x v="0"/>
    <n v="0"/>
    <n v="0.7058823529411765"/>
    <n v="0.2941176470588235"/>
    <n v="0.1764705882352941"/>
    <n v="10.2"/>
    <n v="7.2"/>
    <x v="0"/>
  </r>
  <r>
    <x v="0"/>
    <x v="0"/>
    <x v="4"/>
    <x v="3"/>
    <n v="865.5"/>
    <n v="250"/>
    <n v="20"/>
    <n v="17310"/>
    <n v="2596.5"/>
    <n v="14713.5"/>
    <n v="8655"/>
    <n v="6058.5"/>
    <d v="2014-01-07T00:00:00"/>
    <n v="7"/>
    <s v=" July "/>
    <x v="0"/>
    <n v="1"/>
    <n v="0.4117647058823529"/>
    <n v="0.5882352941176471"/>
    <n v="0.1764705882352941"/>
    <n v="17"/>
    <n v="7"/>
    <x v="0"/>
  </r>
  <r>
    <x v="1"/>
    <x v="1"/>
    <x v="4"/>
    <x v="3"/>
    <n v="492"/>
    <n v="250"/>
    <n v="15"/>
    <n v="7380"/>
    <n v="1107"/>
    <n v="6273"/>
    <n v="4920"/>
    <n v="1353"/>
    <d v="2014-01-07T00:00:00"/>
    <n v="7"/>
    <s v=" July "/>
    <x v="0"/>
    <n v="0"/>
    <n v="0.2156862745098039"/>
    <n v="0.7843137254901961"/>
    <n v="0.1764705882352941"/>
    <n v="12.75"/>
    <n v="2.75"/>
    <x v="0"/>
  </r>
  <r>
    <x v="0"/>
    <x v="4"/>
    <x v="4"/>
    <x v="3"/>
    <n v="267"/>
    <n v="250"/>
    <n v="20"/>
    <n v="5340"/>
    <n v="801"/>
    <n v="4539"/>
    <n v="2670"/>
    <n v="1869"/>
    <d v="2013-01-10T00:00:00"/>
    <n v="10"/>
    <s v=" October "/>
    <x v="1"/>
    <n v="0"/>
    <n v="0.4117647058823529"/>
    <n v="0.5882352941176471"/>
    <n v="0.1764705882352941"/>
    <n v="17"/>
    <n v="7"/>
    <x v="0"/>
  </r>
  <r>
    <x v="1"/>
    <x v="1"/>
    <x v="4"/>
    <x v="3"/>
    <n v="1175"/>
    <n v="250"/>
    <n v="15"/>
    <n v="17625"/>
    <n v="2643.75"/>
    <n v="14981.25"/>
    <n v="11750"/>
    <n v="3231.25"/>
    <d v="2014-01-10T00:00:00"/>
    <n v="10"/>
    <s v=" October "/>
    <x v="0"/>
    <n v="0"/>
    <n v="0.2156862745098039"/>
    <n v="0.7843137254901961"/>
    <n v="0.1764705882352941"/>
    <n v="12.75"/>
    <n v="2.75"/>
    <x v="0"/>
  </r>
  <r>
    <x v="3"/>
    <x v="0"/>
    <x v="4"/>
    <x v="3"/>
    <n v="2954"/>
    <n v="250"/>
    <n v="125"/>
    <n v="369250"/>
    <n v="55387.5"/>
    <n v="313862.5"/>
    <n v="354480"/>
    <n v="-40617.5"/>
    <d v="2013-01-11T00:00:00"/>
    <n v="11"/>
    <s v=" November "/>
    <x v="1"/>
    <n v="0"/>
    <n v="-0.1294117647058824"/>
    <n v="1.129411764705882"/>
    <n v="0.1764705882352941"/>
    <n v="106.25"/>
    <n v="-13.75"/>
    <x v="1"/>
  </r>
  <r>
    <x v="3"/>
    <x v="1"/>
    <x v="4"/>
    <x v="3"/>
    <n v="552"/>
    <n v="250"/>
    <n v="125"/>
    <n v="69000"/>
    <n v="10350"/>
    <n v="58650"/>
    <n v="66240"/>
    <n v="-7590"/>
    <d v="2014-01-11T00:00:00"/>
    <n v="11"/>
    <s v=" November "/>
    <x v="0"/>
    <n v="0"/>
    <n v="-0.1294117647058824"/>
    <n v="1.129411764705882"/>
    <n v="0.1764705882352941"/>
    <n v="106.25"/>
    <n v="-13.75"/>
    <x v="1"/>
  </r>
  <r>
    <x v="0"/>
    <x v="2"/>
    <x v="4"/>
    <x v="3"/>
    <n v="293"/>
    <n v="250"/>
    <n v="20"/>
    <n v="5860"/>
    <n v="879"/>
    <n v="4981"/>
    <n v="2930"/>
    <n v="2051"/>
    <d v="2014-01-12T00:00:00"/>
    <n v="12"/>
    <s v=" December "/>
    <x v="0"/>
    <n v="0"/>
    <n v="0.4117647058823529"/>
    <n v="0.5882352941176471"/>
    <n v="0.1764705882352941"/>
    <n v="17"/>
    <n v="7"/>
    <x v="0"/>
  </r>
  <r>
    <x v="4"/>
    <x v="2"/>
    <x v="5"/>
    <x v="3"/>
    <n v="2475"/>
    <n v="260"/>
    <n v="300"/>
    <n v="742500"/>
    <n v="111375"/>
    <n v="631125"/>
    <n v="618750"/>
    <n v="12375"/>
    <d v="2014-01-03T00:00:00"/>
    <n v="3"/>
    <s v=" March "/>
    <x v="0"/>
    <n v="0"/>
    <n v="0.0196078431372549"/>
    <n v="0.9803921568627451"/>
    <n v="0.1764705882352941"/>
    <n v="255"/>
    <n v="5"/>
    <x v="0"/>
  </r>
  <r>
    <x v="4"/>
    <x v="3"/>
    <x v="5"/>
    <x v="3"/>
    <n v="546"/>
    <n v="260"/>
    <n v="300"/>
    <n v="163800"/>
    <n v="24570"/>
    <n v="139230"/>
    <n v="136500"/>
    <n v="2730"/>
    <d v="2014-01-10T00:00:00"/>
    <n v="10"/>
    <s v=" October "/>
    <x v="0"/>
    <n v="0"/>
    <n v="0.0196078431372549"/>
    <n v="0.9803921568627451"/>
    <n v="0.1764705882352941"/>
    <n v="255"/>
    <n v="5"/>
    <x v="0"/>
  </r>
  <r>
    <x v="0"/>
    <x v="3"/>
    <x v="1"/>
    <x v="3"/>
    <n v="1368"/>
    <n v="5"/>
    <n v="7"/>
    <n v="9576"/>
    <n v="1436.4"/>
    <n v="8139.6"/>
    <n v="6840"/>
    <n v="1299.6"/>
    <d v="2014-01-02T00:00:00"/>
    <n v="2"/>
    <s v=" February "/>
    <x v="0"/>
    <n v="0"/>
    <n v="0.1596638655462185"/>
    <n v="0.8403361344537815"/>
    <n v="0.1764705882352941"/>
    <n v="5.95"/>
    <n v="0.95"/>
    <x v="0"/>
  </r>
  <r>
    <x v="0"/>
    <x v="0"/>
    <x v="2"/>
    <x v="3"/>
    <n v="723"/>
    <n v="10"/>
    <n v="7"/>
    <n v="5061"/>
    <n v="759.15"/>
    <n v="4301.85"/>
    <n v="3615"/>
    <n v="686.85"/>
    <d v="2014-01-04T00:00:00"/>
    <n v="4"/>
    <s v=" April "/>
    <x v="0"/>
    <n v="0"/>
    <n v="0.1596638655462185"/>
    <n v="0.8403361344537814"/>
    <n v="0.1764705882352941"/>
    <n v="5.95"/>
    <n v="0.9500000000000001"/>
    <x v="0"/>
  </r>
  <r>
    <x v="2"/>
    <x v="4"/>
    <x v="4"/>
    <x v="3"/>
    <n v="1806"/>
    <n v="250"/>
    <n v="12"/>
    <n v="21672"/>
    <n v="3250.8"/>
    <n v="18421.2"/>
    <n v="5418"/>
    <n v="13003.2"/>
    <d v="2014-01-05T00:00:00"/>
    <n v="5"/>
    <s v=" May "/>
    <x v="0"/>
    <n v="0"/>
    <n v="0.7058823529411765"/>
    <n v="0.2941176470588235"/>
    <n v="0.1764705882352941"/>
    <n v="10.2"/>
    <n v="7.2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8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9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10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1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1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1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1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15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1" cacheId="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71:P79" firstHeaderRow="1" firstDataRow="3" firstDataCol="1"/>
  <pivotFields count="25"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2"/>
        <item t="data" sd="1" x="3"/>
        <item t="data" sd="1" x="0"/>
        <item t="data" sd="1" x="1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5">
        <item t="data" sd="1" x="3"/>
        <item t="data" sd="1" x="1"/>
        <item t="data" sd="1" x="2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3" outline="1" subtotalTop="1" dragToRow="1" dragToCol="1" dragToPage="1" dragToData="1" dragOff="1" showAll="0" topAutoShow="1" itemPageCount="10" sortType="manual" defaultSubtotal="1"/>
    <pivotField showDropDowns="1" compact="1" numFmtId="10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0" dragToCol="0" dragToPage="0" dragToData="1" dragOff="1" showAll="0" topAutoShow="1" itemPageCount="10" sortType="manual" defaultSubtotal="0"/>
    <pivotField showDropDowns="1" compact="1" outline="1" subtotalTop="1" dragToRow="0" dragToCol="0" dragToPage="0" dragToData="1" dragOff="1" showAll="0" topAutoShow="1" itemPageCount="10" sortType="manual" defaultSubtotal="0"/>
  </pivotFields>
  <rowFields count="1">
    <field x="0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Fields count="2">
    <field x="3"/>
    <field x="-2"/>
  </colFields>
  <colItems count="15">
    <i t="data" r="0" i="0">
      <x v="0"/>
      <x v="0"/>
    </i>
    <i t="data" r="1" i="1">
      <x v="1"/>
    </i>
    <i t="data" r="1" i="2">
      <x v="2"/>
    </i>
    <i t="data" r="0" i="0">
      <x v="1"/>
      <x v="0"/>
    </i>
    <i t="data" r="1" i="1">
      <x v="1"/>
    </i>
    <i t="data" r="1" i="2">
      <x v="2"/>
    </i>
    <i t="data" r="0" i="0">
      <x v="2"/>
      <x v="0"/>
    </i>
    <i t="data" r="1" i="1">
      <x v="1"/>
    </i>
    <i t="data" r="1" i="2">
      <x v="2"/>
    </i>
    <i t="data" r="0" i="0">
      <x v="3"/>
      <x v="0"/>
    </i>
    <i t="data" r="1" i="1">
      <x v="1"/>
    </i>
    <i t="data" r="1" i="2">
      <x v="2"/>
    </i>
    <i t="grand" r="0" i="0">
      <x v="0"/>
    </i>
    <i t="grand" r="0" i="1">
      <x v="0"/>
    </i>
    <i t="grand" r="0" i="2">
      <x v="0"/>
    </i>
  </colItems>
  <dataFields count="3">
    <dataField name="Sum of   Sales " fld="9" subtotal="sum" showDataAs="normal" baseField="0" baseItem="0" numFmtId="44"/>
    <dataField name="Sum of  Profit " fld="11" subtotal="sum" showDataAs="normal" baseField="0" baseItem="0" numFmtId="44"/>
    <dataField name="Sum of Profit margin" fld="23" subtotal="sum" showDataAs="normal" baseField="0" baseItem="0" numFmtId="4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3" cacheId="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6:C17" firstHeaderRow="0" firstDataRow="1" firstDataCol="0"/>
  <pivotFields count="2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3" outline="1" subtotalTop="1" dragToRow="1" dragToCol="1" dragToPage="1" dragToData="1" dragOff="1" showAll="0" topAutoShow="1" itemPageCount="10" sortType="manual" defaultSubtotal="1"/>
    <pivotField showDropDowns="1" compact="1" numFmtId="10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0" dragToCol="0" dragToPage="0" dragToData="1" dragOff="1" showAll="0" topAutoShow="1" itemPageCount="10" sortType="manual" defaultSubtotal="0"/>
    <pivotField showDropDowns="1" compact="1" outline="1" subtotalTop="1" dragToRow="0" dragToCol="0" dragToPage="0" dragToData="1" dragOff="1" showAll="0" topAutoShow="1" itemPageCount="10" sortType="manual" defaultSubtotal="0"/>
  </pivotFields>
  <rowItems count="1">
    <i t="data" r="0" i="0"/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dataFields count="3">
    <dataField name="Sum of   Sales " fld="9" subtotal="sum" showDataAs="normal" baseField="0" baseItem="0" numFmtId="44"/>
    <dataField name="Sum of  Profit " fld="11" subtotal="sum" showDataAs="normal" baseField="0" baseItem="0" numFmtId="44"/>
    <dataField name="Sum of Profit margin" fld="23" subtotal="sum" showDataAs="normal" baseField="0" baseItem="0" numFmtId="4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3" cacheId="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91:D98" firstHeaderRow="0" firstDataRow="1" firstDataCol="1"/>
  <pivotFields count="25"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2"/>
        <item t="data" sd="1" x="3"/>
        <item t="data" sd="1" x="0"/>
        <item t="data" sd="1" x="1"/>
        <item t="data" sd="1" x="4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2"/>
        <item t="data" sd="1" x="1"/>
        <item t="data" sd="1" x="3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3" outline="1" subtotalTop="1" dragToRow="1" dragToCol="1" dragToPage="1" dragToData="1" dragOff="1" showAll="0" topAutoShow="1" itemPageCount="10" sortType="manual" defaultSubtotal="1"/>
    <pivotField showDropDowns="1" compact="1" numFmtId="10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0" dragToCol="0" dragToPage="0" dragToData="1" dragOff="1" showAll="0" topAutoShow="1" itemPageCount="10" sortType="manual" defaultSubtotal="0"/>
    <pivotField showDropDowns="1" compact="1" outline="1" subtotalTop="1" dragToRow="0" dragToCol="0" dragToPage="0" dragToData="1" dragOff="1" showAll="0" topAutoShow="1" itemPageCount="10" sortType="manual" defaultSubtotal="0"/>
  </pivotFields>
  <rowFields count="2">
    <field x="0"/>
    <field x="1"/>
  </rowFields>
  <rowItems count="7">
    <i t="data" r="0" i="0">
      <x v="1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dataFields count="3">
    <dataField name="Sum of   Sales " fld="9" subtotal="sum" showDataAs="normal" baseField="0" baseItem="0" numFmtId="44"/>
    <dataField name="Sum of  Profit " fld="11" subtotal="sum" showDataAs="normal" baseField="0" baseItem="0" numFmtId="44"/>
    <dataField name="Sum of Profit margin" fld="23" subtotal="sum" showDataAs="normal" baseField="0" baseItem="0" numFmtId="44"/>
  </dataFields>
  <pivotTableStyleInfo name="PivotStyleLight16" showRowHeaders="1" showColHeaders="1" showRowStripes="0" showColStripes="0" showLastColumn="1"/>
  <filters count="1">
    <filter fld="0" type="captionEqual" evalOrder="-1" id="1" stringValue1="Enterprise">
      <autoFilter ref="A1">
        <filterColumn colId="0" hiddenButton="0" showButton="1">
          <filters>
            <filter val="Enterprise"/>
          </filters>
        </filterColumn>
      </autoFilter>
    </filter>
  </filters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6" cacheId="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6:E41" firstHeaderRow="0" firstDataRow="1" firstDataCol="1"/>
  <pivotFields count="2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3"/>
        <item t="data" sd="1" x="1"/>
        <item t="data" sd="1" x="2"/>
        <item t="data" sd="1" x="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3" outline="1" subtotalTop="1" dragToRow="1" dragToCol="1" dragToPage="1" dragToData="1" dragOff="1" showAll="0" topAutoShow="1" itemPageCount="10" sortType="manual" defaultSubtotal="1"/>
    <pivotField showDropDowns="1" compact="1" numFmtId="10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0" dragToCol="0" dragToPage="0" dragToData="1" dragOff="1" showAll="0" topAutoShow="1" itemPageCount="10" sortType="manual" defaultSubtotal="0"/>
    <pivotField showDropDowns="1" compact="1" outline="1" subtotalTop="1" dragToRow="0" dragToCol="0" dragToPage="0" dragToData="1" dragOff="1" showAll="0" topAutoShow="1" itemPageCount="10" sortType="manual" defaultSubtotal="0"/>
  </pivotFields>
  <rowFields count="1">
    <field x="3"/>
  </rowFields>
  <row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 Units_Sold " fld="4" subtotal="sum" showDataAs="normal" baseField="0" baseItem="0"/>
    <dataField name="Sum of   Sales " fld="9" subtotal="sum" showDataAs="normal" baseField="0" baseItem="0" numFmtId="44"/>
    <dataField name="Sum of  Profit " fld="11" subtotal="sum" showDataAs="normal" baseField="0" baseItem="0" numFmtId="44"/>
    <dataField name="Sum of Profit margin" fld="23" subtotal="sum" showDataAs="normal" baseField="0" baseItem="0" numFmtId="44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4" cacheId="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9:D26" firstHeaderRow="0" firstDataRow="1" firstDataCol="1"/>
  <pivotFields count="2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5"/>
        <item t="data" sd="1" x="0"/>
        <item t="data" sd="1" x="1"/>
        <item t="data" sd="1" x="2"/>
        <item t="data" sd="1" x="3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3" outline="1" subtotalTop="1" dragToRow="1" dragToCol="1" dragToPage="1" dragToData="1" dragOff="1" showAll="0" topAutoShow="1" itemPageCount="10" sortType="manual" defaultSubtotal="1"/>
    <pivotField showDropDowns="1" compact="1" numFmtId="10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0" dragToCol="0" dragToPage="0" dragToData="1" dragOff="1" showAll="0" topAutoShow="1" itemPageCount="10" sortType="manual" defaultSubtotal="0"/>
    <pivotField showDropDowns="1" compact="1" outline="1" subtotalTop="1" dragToRow="0" dragToCol="0" dragToPage="0" dragToData="1" dragOff="1" showAll="0" topAutoShow="1" itemPageCount="10" sortType="manual" defaultSubtotal="0"/>
  </pivotFields>
  <rowFields count="1">
    <field x="2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dataFields count="3">
    <dataField name="Sum of   Sales " fld="9" subtotal="sum" showDataAs="normal" baseField="0" baseItem="0" numFmtId="44"/>
    <dataField name="Sum of  Profit " fld="11" subtotal="sum" showDataAs="normal" baseField="0" baseItem="0" numFmtId="44"/>
    <dataField name="Sum of Profit margin" fld="23" subtotal="sum" showDataAs="normal" baseField="0" baseItem="0" numFmtId="44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14" cacheId="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00:D104" firstHeaderRow="0" firstDataRow="1" firstDataCol="1"/>
  <pivotFields count="25"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2"/>
        <item t="data" sd="1" x="3"/>
        <item t="data" sd="1" x="0"/>
        <item t="data" sd="1" x="1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3" outline="1" subtotalTop="1" dragToRow="1" dragToCol="1" dragToPage="1" dragToData="1" dragOff="1" showAll="0" topAutoShow="1" itemPageCount="10" sortType="manual" defaultSubtotal="1"/>
    <pivotField showDropDowns="1" compact="1" numFmtId="10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0" dragToCol="0" dragToPage="0" dragToData="1" dragOff="1" showAll="0" topAutoShow="1" itemPageCount="10" sortType="manual" defaultSubtotal="0"/>
    <pivotField showDropDowns="1" compact="1" outline="1" subtotalTop="1" dragToRow="0" dragToCol="0" dragToPage="0" dragToData="1" dragOff="1" showAll="0" topAutoShow="1" itemPageCount="10" sortType="manual" defaultSubtotal="0"/>
  </pivotFields>
  <rowFields count="2">
    <field x="0"/>
    <field x="15"/>
  </rowFields>
  <rowItems count="4">
    <i t="data" r="0" i="0">
      <x v="1"/>
    </i>
    <i t="data" r="1" i="0">
      <x v="0"/>
    </i>
    <i t="data" r="1" i="0">
      <x v="1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dataFields count="3">
    <dataField name="Sum of   Sales " fld="9" subtotal="sum" showDataAs="normal" baseField="0" baseItem="0" numFmtId="44"/>
    <dataField name="Sum of  Profit " fld="11" subtotal="sum" showDataAs="normal" baseField="0" baseItem="0" numFmtId="44"/>
    <dataField name="Sum of Profit margin" fld="23" subtotal="sum" showDataAs="normal" baseField="0" baseItem="0" numFmtId="44"/>
  </dataFields>
  <pivotTableStyleInfo name="PivotStyleLight16" showRowHeaders="1" showColHeaders="1" showRowStripes="0" showColStripes="0" showLastColumn="1"/>
  <filters count="1">
    <filter fld="0" type="captionEqual" evalOrder="-1" id="1" stringValue1="Enterprise">
      <autoFilter ref="A1">
        <filterColumn colId="0" hiddenButton="0" showButton="1">
          <filters>
            <filter val="Enterprise"/>
          </filters>
        </filterColumn>
      </autoFilter>
    </filter>
  </filters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15" cacheId="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06:C113" firstHeaderRow="0" firstDataRow="1" firstDataCol="1"/>
  <pivotFields count="2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5"/>
        <item t="data" sd="1" x="0"/>
        <item t="data" sd="1" x="1"/>
        <item t="data" sd="1" x="2"/>
        <item t="data" sd="1" x="3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3" outline="1" subtotalTop="1" dragToRow="1" dragToCol="1" dragToPage="1" dragToData="1" dragOff="1" showAll="0" topAutoShow="1" itemPageCount="10" sortType="manual" defaultSubtotal="1"/>
    <pivotField showDropDowns="1" compact="1" numFmtId="10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</pivotFields>
  <rowFields count="1">
    <field x="2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 Manufacturing_Price " fld="5" subtotal="sum" showDataAs="normal" baseField="0" baseItem="0" numFmtId="44"/>
    <dataField name="Sum of unit cost" fld="24" subtotal="sum" showDataAs="normal" baseField="0" baseItem="0" numFmtId="44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:r="http://schemas.openxmlformats.org/officeDocument/2006/relationships" xmlns="http://schemas.openxmlformats.org/spreadsheetml/2006/main" name="PivotTable1" cacheId="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D9" firstHeaderRow="0" firstDataRow="1" firstDataCol="1"/>
  <pivotFields count="25"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2"/>
        <item t="data" sd="1" x="3"/>
        <item t="data" sd="1" x="0"/>
        <item t="data" sd="1" x="1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numFmtId="10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0" dragToCol="0" dragToPage="0" dragToData="1" dragOff="1" showAll="0" topAutoShow="1" itemPageCount="10" sortType="manual" defaultSubtotal="0"/>
    <pivotField showDropDowns="1" compact="1" outline="1" subtotalTop="1" dragToRow="0" dragToCol="0" dragToPage="0" dragToData="1" dragOff="1" showAll="0" topAutoShow="1" itemPageCount="10" sortType="manual" defaultSubtotal="0"/>
  </pivotFields>
  <rowFields count="1">
    <field x="0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dataFields count="3">
    <dataField name="Sum of   Sales " fld="9" subtotal="sum" showDataAs="normal" baseField="0" baseItem="0" numFmtId="44"/>
    <dataField name="Sum of  Profit " fld="11" subtotal="sum" showDataAs="normal" baseField="0" baseItem="0" numFmtId="44"/>
    <dataField name="Sum of Profit margin" fld="23" subtotal="sum" showDataAs="normal" baseField="0" baseItem="0" numFmtId="44"/>
  </dataField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:r="http://schemas.openxmlformats.org/officeDocument/2006/relationships" xmlns="http://schemas.openxmlformats.org/spreadsheetml/2006/main" name="PivotTable9" cacheId="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53:D59" firstHeaderRow="0" firstDataRow="1" firstDataCol="1"/>
  <pivotFields count="25"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2"/>
        <item t="data" sd="1" x="3"/>
        <item t="data" sd="1" x="0"/>
        <item t="data" sd="1" x="1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3" outline="1" subtotalTop="1" dragToRow="1" dragToCol="1" dragToPage="1" dragToData="1" dragOff="1" showAll="0" topAutoShow="1" itemPageCount="10" sortType="manual" defaultSubtotal="1"/>
    <pivotField showDropDowns="1" compact="1" numFmtId="10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</pivotFields>
  <rowFields count="1">
    <field x="0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dataFields count="3">
    <dataField name="Average of Is_Loss" fld="22" subtotal="average" showDataAs="normal" baseField="0" baseItem="0"/>
    <dataField name="Sum of  Sale_Price " fld="6" subtotal="sum" showDataAs="normal" baseField="0" baseItem="0" numFmtId="44"/>
    <dataField name="Sum of unit cost" fld="24" subtotal="sum" showDataAs="normal" baseField="0" baseItem="0" numFmtId="44"/>
  </dataField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:r="http://schemas.openxmlformats.org/officeDocument/2006/relationships" xmlns="http://schemas.openxmlformats.org/spreadsheetml/2006/main" name="PivotTable7" cacheId="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43:A44" firstHeaderRow="1" firstDataRow="1" firstDataCol="0"/>
  <pivotFields count="2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3" outline="1" subtotalTop="1" dragToRow="1" dragToCol="1" dragToPage="1" dragToData="1" dragOff="1" showAll="0" topAutoShow="1" itemPageCount="10" sortType="manual" defaultSubtotal="1"/>
    <pivotField showDropDowns="1" compact="1" numFmtId="10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0" dragToCol="0" dragToPage="0" dragToData="1" dragOff="1" showAll="0" topAutoShow="1" itemPageCount="10" sortType="manual" defaultSubtotal="0"/>
    <pivotField showDropDowns="1" compact="1" outline="1" subtotalTop="1" dragToRow="0" dragToCol="0" dragToPage="0" dragToData="1" dragOff="1" showAll="0" topAutoShow="1" itemPageCount="10" sortType="manual" defaultSubtotal="0"/>
  </pivotFields>
  <rowItems count="1">
    <i t="data" r="0" i="0"/>
  </rowItems>
  <colItems count="1">
    <i t="data" r="0" i="0"/>
  </colItems>
  <dataFields count="1">
    <dataField name="Average of Is_Loss" fld="22" subtotal="average" showDataAs="normal" baseField="22" baseItem="0"/>
  </dataFields>
  <pivotTableStyleInfo name="PivotStyleLight16" showRowHeaders="1" showColHeaders="1" showRowStripes="0" showColStripes="0" showLastColumn="1"/>
</pivotTableDefinition>
</file>

<file path=xl/pivotTables/pivotTable11.xml><?xml version="1.0" encoding="utf-8"?>
<pivotTableDefinition xmlns:r="http://schemas.openxmlformats.org/officeDocument/2006/relationships" xmlns="http://schemas.openxmlformats.org/spreadsheetml/2006/main" name="PivotTable2" cacheId="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1:D14" firstHeaderRow="0" firstDataRow="1" firstDataCol="1"/>
  <pivotFields count="2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3" outline="1" subtotalTop="1" dragToRow="1" dragToCol="1" dragToPage="1" dragToData="1" dragOff="1" showAll="0" topAutoShow="1" itemPageCount="10" sortType="manual" defaultSubtotal="1"/>
    <pivotField showDropDowns="1" compact="1" numFmtId="10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0" dragToCol="0" dragToPage="0" dragToData="1" dragOff="1" showAll="0" topAutoShow="1" itemPageCount="10" sortType="manual" defaultSubtotal="0"/>
    <pivotField showDropDowns="1" compact="1" outline="1" subtotalTop="1" dragToRow="0" dragToCol="0" dragToPage="0" dragToData="1" dragOff="1" showAll="0" topAutoShow="1" itemPageCount="10" sortType="manual" defaultSubtotal="0"/>
  </pivotFields>
  <rowFields count="1">
    <field x="15"/>
  </rowFields>
  <rowItems count="3">
    <i t="data" r="0" i="0">
      <x v="0"/>
    </i>
    <i t="data" r="0" i="0">
      <x v="1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dataFields count="3">
    <dataField name="Sum of   Sales " fld="9" subtotal="sum" showDataAs="normal" baseField="0" baseItem="0" numFmtId="44"/>
    <dataField name="Sum of  Profit " fld="11" subtotal="sum" showDataAs="normal" baseField="0" baseItem="0" numFmtId="44"/>
    <dataField name="Sum of Profit margin" fld="23" subtotal="sum" showDataAs="normal" baseField="0" baseItem="0" numFmtId="44"/>
  </dataFields>
  <pivotTableStyleInfo name="PivotStyleLight16" showRowHeaders="1" showColHeaders="1" showRowStripes="0" showColStripes="0" showLastColumn="1"/>
</pivotTableDefinition>
</file>

<file path=xl/pivotTables/pivotTable12.xml><?xml version="1.0" encoding="utf-8"?>
<pivotTableDefinition xmlns:r="http://schemas.openxmlformats.org/officeDocument/2006/relationships" xmlns="http://schemas.openxmlformats.org/spreadsheetml/2006/main" name="PivotTable5" cacheId="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28:D34" firstHeaderRow="0" firstDataRow="1" firstDataCol="1"/>
  <pivotFields count="25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2"/>
        <item t="data" sd="1" x="1"/>
        <item t="data" sd="1" x="3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3" outline="1" subtotalTop="1" dragToRow="1" dragToCol="1" dragToPage="1" dragToData="1" dragOff="1" showAll="0" topAutoShow="1" itemPageCount="10" sortType="manual" defaultSubtotal="1"/>
    <pivotField showDropDowns="1" compact="1" numFmtId="10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0" dragToCol="0" dragToPage="0" dragToData="1" dragOff="1" showAll="0" topAutoShow="1" itemPageCount="10" sortType="manual" defaultSubtotal="0"/>
    <pivotField showDropDowns="1" compact="1" outline="1" subtotalTop="1" dragToRow="0" dragToCol="0" dragToPage="0" dragToData="1" dragOff="1" showAll="0" topAutoShow="1" itemPageCount="10" sortType="manual" defaultSubtotal="0"/>
  </pivotFields>
  <rowFields count="1">
    <field x="1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dataFields count="3">
    <dataField name="Sum of   Sales " fld="9" subtotal="sum" showDataAs="normal" baseField="0" baseItem="0" numFmtId="44"/>
    <dataField name="Sum of  Profit " fld="11" subtotal="sum" showDataAs="normal" baseField="0" baseItem="0" numFmtId="44"/>
    <dataField name="Sum of Profit margin" fld="23" subtotal="sum" showDataAs="normal" baseField="0" baseItem="0" numFmtId="44"/>
  </dataFields>
  <pivotTableStyleInfo name="PivotStyleLight16" showRowHeaders="1" showColHeaders="1" showRowStripes="0" showColStripes="0" showLastColumn="1"/>
</pivotTableDefinition>
</file>

<file path=xl/pivotTables/pivotTable13.xml><?xml version="1.0" encoding="utf-8"?>
<pivotTableDefinition xmlns:r="http://schemas.openxmlformats.org/officeDocument/2006/relationships" xmlns="http://schemas.openxmlformats.org/spreadsheetml/2006/main" name="PivotTable12" cacheId="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81:D89" firstHeaderRow="0" firstDataRow="1" firstDataCol="1"/>
  <pivotFields count="25"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2"/>
        <item t="data" sd="1" x="3"/>
        <item t="data" sd="1" x="0"/>
        <item t="data" sd="1" x="1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2"/>
        <item t="data" sd="1" x="1"/>
        <item t="data" sd="1" x="3"/>
        <item t="data" sd="1" x="4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5"/>
        <item t="data" sd="1" x="0"/>
        <item t="data" sd="1" x="1"/>
        <item t="data" sd="1" x="2"/>
        <item t="data" sd="1" x="3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3" outline="1" subtotalTop="1" dragToRow="1" dragToCol="1" dragToPage="1" dragToData="1" dragOff="1" showAll="0" topAutoShow="1" itemPageCount="10" sortType="manual" defaultSubtotal="1"/>
    <pivotField showDropDowns="1" compact="1" numFmtId="10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0" dragToCol="0" dragToPage="0" dragToData="1" dragOff="1" showAll="0" topAutoShow="1" itemPageCount="10" sortType="manual" defaultSubtotal="0"/>
    <pivotField showDropDowns="1" compact="1" outline="1" subtotalTop="1" dragToRow="0" dragToCol="0" dragToPage="0" dragToData="1" dragOff="1" showAll="0" topAutoShow="1" itemPageCount="10" sortType="manual" defaultSubtotal="0"/>
  </pivotFields>
  <rowFields count="2">
    <field x="0"/>
    <field x="2"/>
  </rowFields>
  <rowItems count="8">
    <i t="data" r="0" i="0">
      <x v="1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dataFields count="3">
    <dataField name="Sum of   Sales " fld="9" subtotal="sum" showDataAs="normal" baseField="0" baseItem="0" numFmtId="44"/>
    <dataField name="Sum of  Profit " fld="11" subtotal="sum" showDataAs="normal" baseField="0" baseItem="0" numFmtId="44"/>
    <dataField name="Sum of Profit margin" fld="23" subtotal="sum" showDataAs="normal" baseField="0" baseItem="0" numFmtId="44"/>
  </dataFields>
  <pivotTableStyleInfo name="PivotStyleLight16" showRowHeaders="1" showColHeaders="1" showRowStripes="0" showColStripes="0" showLastColumn="1"/>
  <filters count="1">
    <filter fld="0" type="captionEqual" evalOrder="-1" id="2" stringValue1="Enterprise">
      <autoFilter ref="A1">
        <filterColumn colId="0" hiddenButton="0" showButton="1">
          <filters>
            <filter val="Enterprise"/>
          </filters>
        </filterColumn>
      </autoFilter>
    </filter>
  </filters>
</pivotTableDefinition>
</file>

<file path=xl/pivotTables/pivotTable14.xml><?xml version="1.0" encoding="utf-8"?>
<pivotTableDefinition xmlns:r="http://schemas.openxmlformats.org/officeDocument/2006/relationships" xmlns="http://schemas.openxmlformats.org/spreadsheetml/2006/main" name="PivotTable10" cacheId="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62:F69" firstHeaderRow="1" firstDataRow="2" firstDataCol="1"/>
  <pivotFields count="25"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2"/>
        <item t="data" sd="1" x="3"/>
        <item t="data" sd="1" x="0"/>
        <item t="data" sd="1" x="1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5">
        <item t="data" sd="1" x="3"/>
        <item t="data" sd="1" x="1"/>
        <item t="data" sd="1" x="2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43" outline="1" subtotalTop="1" dragToRow="1" dragToCol="1" dragToPage="1" dragToData="1" dragOff="1" showAll="0" topAutoShow="1" itemPageCount="10" sortType="manual" defaultSubtotal="1"/>
    <pivotField showDropDowns="1" compact="1" numFmtId="10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0" dragToCol="0" dragToPage="0" dragToData="1" dragOff="1" showAll="0" topAutoShow="1" itemPageCount="10" sortType="manual" defaultSubtotal="0"/>
    <pivotField showDropDowns="1" compact="1" outline="1" subtotalTop="1" dragToRow="0" dragToCol="0" dragToPage="0" dragToData="1" dragOff="1" showAll="0" topAutoShow="1" itemPageCount="10" sortType="manual" defaultSubtotal="0"/>
  </pivotFields>
  <rowFields count="1">
    <field x="0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Fields count="1">
    <field x="3"/>
  </colFields>
  <col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colItems>
  <dataFields count="1">
    <dataField name="Sum of Profit_Margin" fld="17" subtotal="sum" showDataAs="normal" baseField="0" baseItem="0" numFmtId="43"/>
  </dataFields>
  <pivotTableStyleInfo name="PivotStyleLight16" showRowHeaders="1" showColHeaders="1" showRowStripes="0" showColStripes="0" showLastColumn="1"/>
</pivotTableDefinition>
</file>

<file path=xl/pivotTables/pivotTable15.xml><?xml version="1.0" encoding="utf-8"?>
<pivotTableDefinition xmlns:r="http://schemas.openxmlformats.org/officeDocument/2006/relationships" xmlns="http://schemas.openxmlformats.org/spreadsheetml/2006/main" name="PivotTable8" cacheId="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" fieldListSortAscending="0" mdxSubqueries="0" applyNumberFormats="0" applyBorderFormats="0" applyFontFormats="0" applyPatternFormats="0" applyAlignmentFormats="0" applyWidthHeightFormats="1" r:id="rId1">
  <location ref="A46:B51" firstHeaderRow="1" firstDataRow="1" firstDataCol="1"/>
  <pivotFields count="2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3"/>
        <item t="data" sd="1" x="1"/>
        <item t="data" sd="1" x="2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3" outline="1" subtotalTop="1" dragToRow="1" dragToCol="1" dragToPage="1" dragToData="1" dragOff="1" showAll="0" topAutoShow="1" itemPageCount="10" sortType="manual" defaultSubtotal="1"/>
    <pivotField showDropDowns="1" compact="1" numFmtId="10" outline="1" subtotalTop="1" dragToRow="1" dragToCol="1" dragToPage="1" dragToData="1" dragOff="1" showAll="0" topAutoShow="1" itemPageCount="10" sortType="manual" defaultSubtotal="1"/>
    <pivotField showDropDowns="1" compact="1" numFmtId="9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0" dragToCol="0" dragToPage="0" dragToData="1" dragOff="1" showAll="0" topAutoShow="1" itemPageCount="10" sortType="manual" defaultSubtotal="0"/>
    <pivotField showDropDowns="1" compact="1" outline="1" subtotalTop="1" dragToRow="0" dragToCol="0" dragToPage="0" dragToData="1" dragOff="1" showAll="0" topAutoShow="1" itemPageCount="10" sortType="manual" defaultSubtotal="0"/>
  </pivotFields>
  <rowFields count="1">
    <field x="3"/>
  </rowFields>
  <row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rowItems>
  <colItems count="1">
    <i t="data" r="0" i="0"/>
  </colItems>
  <dataFields count="1">
    <dataField name="Average of Is_Loss" fld="22" subtotal="average" showDataAs="normal" baseField="3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2" displayName="Table2" ref="A3:W29" headerRowCount="1" totalsRowShown="0">
  <autoFilter ref="A3:W29"/>
  <tableColumns count="23">
    <tableColumn id="1" name="Segment"/>
    <tableColumn id="2" name="Country"/>
    <tableColumn id="3" name=" Product "/>
    <tableColumn id="4" name="Discount_Band"/>
    <tableColumn id="5" name=" Units_Sold "/>
    <tableColumn id="6" name=" Manufacturing_Price "/>
    <tableColumn id="7" name=" Sale_Price "/>
    <tableColumn id="8" name=" Gross_Sales "/>
    <tableColumn id="9" name=" Discounts "/>
    <tableColumn id="10" name="  Sales "/>
    <tableColumn id="11" name=" COGS "/>
    <tableColumn id="12" name=" Profit "/>
    <tableColumn id="13" name="Date" dataDxfId="1"/>
    <tableColumn id="14" name="Month_Number"/>
    <tableColumn id="15" name=" Month_Name "/>
    <tableColumn id="16" name="Year"/>
    <tableColumn id="17" name="is_fractional_units"/>
    <tableColumn id="18" name="Profit_Margin"/>
    <tableColumn id="19" name="Cogs_Ratio"/>
    <tableColumn id="20" name="Discount_Ratio"/>
    <tableColumn id="21" name="Average_selling_Price"/>
    <tableColumn id="22" name="Unit_Profit"/>
    <tableColumn id="23" name="Is_Lo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3:W98" headerRowCount="1" totalsRowShown="0">
  <autoFilter ref="A3:W98"/>
  <tableColumns count="23">
    <tableColumn id="1" name="Segment"/>
    <tableColumn id="2" name="Country"/>
    <tableColumn id="3" name=" Product "/>
    <tableColumn id="4" name="Discount_Band"/>
    <tableColumn id="5" name=" Units_Sold "/>
    <tableColumn id="6" name=" Manufacturing_Price "/>
    <tableColumn id="7" name=" Sale_Price "/>
    <tableColumn id="8" name=" Gross_Sales "/>
    <tableColumn id="9" name=" Discounts "/>
    <tableColumn id="10" name="  Sales "/>
    <tableColumn id="11" name=" COGS "/>
    <tableColumn id="12" name=" Profit "/>
    <tableColumn id="13" name="Date" dataDxfId="0"/>
    <tableColumn id="14" name="Month_Number"/>
    <tableColumn id="15" name=" Month_Name "/>
    <tableColumn id="16" name="Year"/>
    <tableColumn id="17" name="is_fractional_units"/>
    <tableColumn id="18" name="Profit_Margin"/>
    <tableColumn id="19" name="Cogs_Ratio"/>
    <tableColumn id="20" name="Discount_Ratio"/>
    <tableColumn id="21" name="Average_selling_Price"/>
    <tableColumn id="22" name="Unit_Profit"/>
    <tableColumn id="23" name="Is_Lo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inancials" displayName="Financials" ref="A1:W696" tableType="queryTable" headerRowCount="1" totalsRowShown="0">
  <autoFilter ref="A1:W696"/>
  <tableColumns count="23">
    <tableColumn id="1" uniqueName="1" name="Segment" queryTableFieldId="1" dataDxfId="14"/>
    <tableColumn id="2" uniqueName="2" name="Country" queryTableFieldId="2" dataDxfId="13"/>
    <tableColumn id="3" uniqueName="3" name=" Product " queryTableFieldId="3" dataDxfId="12"/>
    <tableColumn id="4" uniqueName="4" name="Discount_Band" queryTableFieldId="4" dataDxfId="11"/>
    <tableColumn id="5" uniqueName="5" name=" Units_Sold " queryTableFieldId="5"/>
    <tableColumn id="6" uniqueName="6" name=" Manufacturing_Price " queryTableFieldId="6" dataCellStyle="Currency"/>
    <tableColumn id="7" uniqueName="7" name=" Sale_Price " queryTableFieldId="7" dataCellStyle="Currency"/>
    <tableColumn id="8" uniqueName="8" name=" Gross_Sales " queryTableFieldId="8" dataCellStyle="Currency"/>
    <tableColumn id="9" uniqueName="9" name=" Discounts " queryTableFieldId="9" dataDxfId="10" dataCellStyle="Percent"/>
    <tableColumn id="10" uniqueName="10" name="  Sales " queryTableFieldId="10" dataCellStyle="Currency"/>
    <tableColumn id="11" uniqueName="11" name=" COGS " queryTableFieldId="11" dataCellStyle="Currency"/>
    <tableColumn id="12" uniqueName="12" name=" Profit " queryTableFieldId="12" dataCellStyle="Currency"/>
    <tableColumn id="13" uniqueName="13" name="Date" queryTableFieldId="13" dataDxfId="9"/>
    <tableColumn id="14" uniqueName="14" name="Month_Number" queryTableFieldId="14" dataDxfId="8"/>
    <tableColumn id="15" uniqueName="15" name=" Month_Name " queryTableFieldId="15" dataDxfId="7"/>
    <tableColumn id="16" uniqueName="16" name="Year" queryTableFieldId="16"/>
    <tableColumn id="17" uniqueName="17" name="is_fractional_units" queryTableFieldId="17" dataDxfId="6">
      <calculatedColumnFormula>IF(Financials[[#This Row],[ Units_Sold ]]&lt;&gt;INT(Financials[[#This Row],[ Units_Sold ]]),1,0)</calculatedColumnFormula>
    </tableColumn>
    <tableColumn id="18" uniqueName="18" name="Profit_Margin" queryTableFieldId="18" dataCellStyle="Comma">
      <calculatedColumnFormula>Financials[[#This Row],[ Profit ]]/Financials[[#This Row],[  Sales ]]</calculatedColumnFormula>
    </tableColumn>
    <tableColumn id="19" uniqueName="19" name="Cogs_Ratio" queryTableFieldId="19" dataDxfId="5">
      <calculatedColumnFormula>Financials[[#This Row],[ COGS ]]/Financials[[#This Row],[  Sales ]]</calculatedColumnFormula>
    </tableColumn>
    <tableColumn id="20" uniqueName="20" name="Discount_Ratio" queryTableFieldId="20" dataCellStyle="Percent">
      <calculatedColumnFormula>Financials[[#This Row],[ Discounts ]]/Financials[[#This Row],[  Sales ]]</calculatedColumnFormula>
    </tableColumn>
    <tableColumn id="21" uniqueName="21" name="Average_selling_Price" queryTableFieldId="21" dataDxfId="4">
      <calculatedColumnFormula>Financials[[#This Row],[  Sales ]]/Financials[[#This Row],[ Units_Sold ]]</calculatedColumnFormula>
    </tableColumn>
    <tableColumn id="22" uniqueName="22" name="Unit_Profit" queryTableFieldId="22" dataDxfId="3">
      <calculatedColumnFormula>Financials[[#This Row],[ Profit ]]/Financials[[#This Row],[ Units_Sold ]]</calculatedColumnFormula>
    </tableColumn>
    <tableColumn id="23" uniqueName="23" name="Is_Loss" queryTableFieldId="23" dataDxfId="2">
      <calculatedColumnFormula>IF(Financials[[#This Row],[ Profit ]]&lt;0,1,0)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1.xml" Id="rId1"/><Relationship Type="http://schemas.openxmlformats.org/officeDocument/2006/relationships/pivotTable" Target="/xl/pivotTables/pivotTable2.xml" Id="rId2"/><Relationship Type="http://schemas.openxmlformats.org/officeDocument/2006/relationships/pivotTable" Target="/xl/pivotTables/pivotTable3.xml" Id="rId3"/><Relationship Type="http://schemas.openxmlformats.org/officeDocument/2006/relationships/pivotTable" Target="/xl/pivotTables/pivotTable4.xml" Id="rId4"/><Relationship Type="http://schemas.openxmlformats.org/officeDocument/2006/relationships/pivotTable" Target="/xl/pivotTables/pivotTable5.xml" Id="rId5"/><Relationship Type="http://schemas.openxmlformats.org/officeDocument/2006/relationships/pivotTable" Target="/xl/pivotTables/pivotTable6.xml" Id="rId6"/><Relationship Type="http://schemas.openxmlformats.org/officeDocument/2006/relationships/pivotTable" Target="/xl/pivotTables/pivotTable7.xml" Id="rId7"/><Relationship Type="http://schemas.openxmlformats.org/officeDocument/2006/relationships/pivotTable" Target="/xl/pivotTables/pivotTable8.xml" Id="rId8"/><Relationship Type="http://schemas.openxmlformats.org/officeDocument/2006/relationships/pivotTable" Target="/xl/pivotTables/pivotTable9.xml" Id="rId9"/><Relationship Type="http://schemas.openxmlformats.org/officeDocument/2006/relationships/pivotTable" Target="/xl/pivotTables/pivotTable10.xml" Id="rId10"/><Relationship Type="http://schemas.openxmlformats.org/officeDocument/2006/relationships/pivotTable" Target="/xl/pivotTables/pivotTable11.xml" Id="rId11"/><Relationship Type="http://schemas.openxmlformats.org/officeDocument/2006/relationships/pivotTable" Target="/xl/pivotTables/pivotTable12.xml" Id="rId12"/><Relationship Type="http://schemas.openxmlformats.org/officeDocument/2006/relationships/pivotTable" Target="/xl/pivotTables/pivotTable13.xml" Id="rId13"/><Relationship Type="http://schemas.openxmlformats.org/officeDocument/2006/relationships/pivotTable" Target="/xl/pivotTables/pivotTable14.xml" Id="rId14"/><Relationship Type="http://schemas.openxmlformats.org/officeDocument/2006/relationships/pivotTable" Target="/xl/pivotTables/pivotTable15.xml" Id="rId15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Z139"/>
  <sheetViews>
    <sheetView showGridLines="0" tabSelected="1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  <col width="7.6" customWidth="1" min="13" max="13"/>
    <col width="7.6" customWidth="1" min="14" max="14"/>
    <col width="7.6" customWidth="1" min="15" max="15"/>
    <col width="7.6" customWidth="1" min="16" max="16"/>
    <col width="7.6" customWidth="1" min="17" max="17"/>
    <col width="7.6" customWidth="1" min="18" max="18"/>
    <col width="7.6" customWidth="1" min="19" max="19"/>
    <col width="7.6" customWidth="1" min="20" max="20"/>
    <col width="7.6" customWidth="1" min="21" max="21"/>
    <col width="7.6" customWidth="1" min="22" max="22"/>
    <col width="7.6" customWidth="1" min="23" max="23"/>
    <col width="7.6" customWidth="1" min="24" max="24"/>
    <col width="7.6" customWidth="1" min="25" max="25"/>
    <col width="2" customWidth="1" min="26" max="26"/>
  </cols>
  <sheetData>
    <row r="1" ht="34" customHeight="1">
      <c r="A1" s="14" t="n"/>
      <c r="B1" s="15" t="inlineStr">
        <is>
          <t>Financial Performance Dashboard</t>
        </is>
      </c>
      <c r="Y1" s="14" t="n"/>
      <c r="Z1" s="14" t="n"/>
    </row>
    <row r="2">
      <c r="A2" s="14" t="n"/>
      <c r="B2" s="16" t="inlineStr">
        <is>
          <t>Reporting period: Sep 2013 – Dec 2014 (2013 covers Sep–Dec only)  ·  695 orders  ·  5 segments, 5 countries, 6 products  ·  Source: Financials sheet  ·  Currency symbol shown as $ (unit not stated in source)</t>
        </is>
      </c>
      <c r="Y2" s="14" t="n"/>
      <c r="Z2" s="14" t="n"/>
    </row>
    <row r="3" ht="6" customHeight="1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14" t="n"/>
      <c r="B4" s="17" t="inlineStr">
        <is>
          <t>PERIOD (YEAR)</t>
        </is>
      </c>
      <c r="G4" s="14" t="n"/>
      <c r="H4" s="17" t="inlineStr">
        <is>
          <t>SEGMENT</t>
        </is>
      </c>
      <c r="M4" s="14" t="n"/>
      <c r="N4" s="17" t="inlineStr">
        <is>
          <t>COUNTRY</t>
        </is>
      </c>
      <c r="S4" s="14" t="n"/>
      <c r="T4" s="17" t="inlineStr">
        <is>
          <t>PRODUCT</t>
        </is>
      </c>
      <c r="Y4" s="14" t="n"/>
      <c r="Z4" s="14" t="n"/>
    </row>
    <row r="5" ht="22" customHeight="1">
      <c r="A5" s="14" t="n"/>
      <c r="B5" s="18" t="inlineStr">
        <is>
          <t>All</t>
        </is>
      </c>
      <c r="C5" s="19" t="n"/>
      <c r="D5" s="19" t="n"/>
      <c r="E5" s="19" t="n"/>
      <c r="F5" s="20" t="n"/>
      <c r="G5" s="14" t="n"/>
      <c r="H5" s="18" t="inlineStr">
        <is>
          <t>All</t>
        </is>
      </c>
      <c r="I5" s="19" t="n"/>
      <c r="J5" s="19" t="n"/>
      <c r="K5" s="19" t="n"/>
      <c r="L5" s="20" t="n"/>
      <c r="M5" s="14" t="n"/>
      <c r="N5" s="18" t="inlineStr">
        <is>
          <t>All</t>
        </is>
      </c>
      <c r="O5" s="19" t="n"/>
      <c r="P5" s="19" t="n"/>
      <c r="Q5" s="19" t="n"/>
      <c r="R5" s="20" t="n"/>
      <c r="S5" s="14" t="n"/>
      <c r="T5" s="18" t="inlineStr">
        <is>
          <t>All</t>
        </is>
      </c>
      <c r="U5" s="19" t="n"/>
      <c r="V5" s="19" t="n"/>
      <c r="W5" s="19" t="n"/>
      <c r="X5" s="20" t="n"/>
      <c r="Y5" s="14" t="n"/>
      <c r="Z5" s="14" t="n"/>
    </row>
    <row r="6">
      <c r="A6" s="14" t="n"/>
      <c r="B6" s="21">
        <f>"Showing "&amp;TEXT(Calc!B15,"#,##0")&amp;" orders  ·  Pick values in the four white boxes above (set all to All to reset). Segment, Country and Product charts ignore their own filter so comparisons stay visible."</f>
        <v/>
      </c>
      <c r="Y6" s="14" t="n"/>
      <c r="Z6" s="14" t="n"/>
    </row>
    <row r="7" ht="6" customHeight="1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20" customHeight="1">
      <c r="A8" s="14" t="n"/>
      <c r="B8" s="22" t="inlineStr">
        <is>
          <t>1 · EXECUTIVE OVERVIEW</t>
        </is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14" t="n"/>
      <c r="Z8" s="14" t="n"/>
    </row>
    <row r="9" ht="18" customHeight="1">
      <c r="A9" s="14" t="n"/>
      <c r="B9" s="24" t="inlineStr">
        <is>
          <t>NET SALES</t>
        </is>
      </c>
      <c r="C9" s="25" t="n"/>
      <c r="D9" s="26" t="n"/>
      <c r="E9" s="14" t="n"/>
      <c r="F9" s="24" t="inlineStr">
        <is>
          <t>PROFIT</t>
        </is>
      </c>
      <c r="G9" s="25" t="n"/>
      <c r="H9" s="26" t="n"/>
      <c r="I9" s="14" t="n"/>
      <c r="J9" s="24" t="inlineStr">
        <is>
          <t>PROFIT MARGIN</t>
        </is>
      </c>
      <c r="K9" s="25" t="n"/>
      <c r="L9" s="26" t="n"/>
      <c r="M9" s="14" t="n"/>
      <c r="N9" s="24" t="inlineStr">
        <is>
          <t>DISCOUNT RATE</t>
        </is>
      </c>
      <c r="O9" s="25" t="n"/>
      <c r="P9" s="26" t="n"/>
      <c r="Q9" s="14" t="n"/>
      <c r="R9" s="24" t="inlineStr">
        <is>
          <t>UNITS SOLD</t>
        </is>
      </c>
      <c r="S9" s="25" t="n"/>
      <c r="T9" s="26" t="n"/>
      <c r="U9" s="14" t="n"/>
      <c r="V9" s="24" t="inlineStr">
        <is>
          <t>LOSS-MAKING ORDERS</t>
        </is>
      </c>
      <c r="W9" s="25" t="n"/>
      <c r="X9" s="26" t="n"/>
      <c r="Y9" s="14" t="n"/>
      <c r="Z9" s="14" t="n"/>
    </row>
    <row r="10" ht="20" customHeight="1">
      <c r="A10" s="14" t="n"/>
      <c r="B10" s="27">
        <f>Calc!B11</f>
        <v/>
      </c>
      <c r="D10" s="28" t="n"/>
      <c r="E10" s="14" t="n"/>
      <c r="F10" s="29">
        <f>Calc!B13</f>
        <v/>
      </c>
      <c r="H10" s="28" t="n"/>
      <c r="I10" s="14" t="n"/>
      <c r="J10" s="30">
        <f>Calc!B18</f>
        <v/>
      </c>
      <c r="L10" s="28" t="n"/>
      <c r="M10" s="14" t="n"/>
      <c r="N10" s="30">
        <f>Calc!B19</f>
        <v/>
      </c>
      <c r="P10" s="28" t="n"/>
      <c r="Q10" s="14" t="n"/>
      <c r="R10" s="31">
        <f>Calc!B14</f>
        <v/>
      </c>
      <c r="T10" s="28" t="n"/>
      <c r="U10" s="14" t="n"/>
      <c r="V10" s="29">
        <f>Calc!B17</f>
        <v/>
      </c>
      <c r="X10" s="28" t="n"/>
      <c r="Y10" s="14" t="n"/>
      <c r="Z10" s="14" t="n"/>
    </row>
    <row r="11" ht="20" customHeight="1">
      <c r="A11" s="14" t="n"/>
      <c r="B11" s="32" t="n"/>
      <c r="D11" s="28" t="n"/>
      <c r="E11" s="14" t="n"/>
      <c r="F11" s="32" t="n"/>
      <c r="H11" s="28" t="n"/>
      <c r="I11" s="14" t="n"/>
      <c r="J11" s="32" t="n"/>
      <c r="L11" s="28" t="n"/>
      <c r="M11" s="14" t="n"/>
      <c r="N11" s="32" t="n"/>
      <c r="P11" s="28" t="n"/>
      <c r="Q11" s="14" t="n"/>
      <c r="R11" s="32" t="n"/>
      <c r="T11" s="28" t="n"/>
      <c r="U11" s="14" t="n"/>
      <c r="V11" s="32" t="n"/>
      <c r="X11" s="28" t="n"/>
      <c r="Y11" s="14" t="n"/>
      <c r="Z11" s="14" t="n"/>
    </row>
    <row r="12" ht="15" customHeight="1">
      <c r="A12" s="14" t="n"/>
      <c r="B12" s="33">
        <f>"Gross sales "&amp;TEXT(Calc!B9/1000000,"$0.0")&amp;"M less discounts"</f>
        <v/>
      </c>
      <c r="D12" s="28" t="n"/>
      <c r="E12" s="14" t="n"/>
      <c r="F12" s="33">
        <f>"COGS = "&amp;TEXT(Calc!B21,"0%")&amp;" of net sales"</f>
        <v/>
      </c>
      <c r="H12" s="28" t="n"/>
      <c r="I12" s="14" t="n"/>
      <c r="J12" s="33">
        <f>"Profit ÷ net sales"</f>
        <v/>
      </c>
      <c r="L12" s="28" t="n"/>
      <c r="M12" s="14" t="n"/>
      <c r="N12" s="33">
        <f>TEXT(Calc!B10/1000000,"$0.0")&amp;"M discounts ÷ gross sales"</f>
        <v/>
      </c>
      <c r="P12" s="28" t="n"/>
      <c r="Q12" s="14" t="n"/>
      <c r="R12" s="33">
        <f>TEXT(Calc!B15,"#,##0")&amp;" orders"</f>
        <v/>
      </c>
      <c r="T12" s="28" t="n"/>
      <c r="U12" s="14" t="n"/>
      <c r="V12" s="33">
        <f>TEXT(Calc!B16,"#,##0")&amp;" orders ("&amp;TEXT(Calc!B16/MAX(Calc!B15,1),"0%")&amp;" of all)"</f>
        <v/>
      </c>
      <c r="X12" s="28" t="n"/>
      <c r="Y12" s="14" t="n"/>
      <c r="Z12" s="14" t="n"/>
    </row>
    <row r="13" ht="18" customHeight="1">
      <c r="A13" s="14" t="n"/>
      <c r="B13" s="34">
        <f>Calc!G24</f>
        <v/>
      </c>
      <c r="C13" s="35" t="n"/>
      <c r="D13" s="36" t="n"/>
      <c r="E13" s="14" t="n"/>
      <c r="F13" s="34">
        <f>Calc!G25</f>
        <v/>
      </c>
      <c r="G13" s="35" t="n"/>
      <c r="H13" s="36" t="n"/>
      <c r="I13" s="14" t="n"/>
      <c r="J13" s="34">
        <f>Calc!G30</f>
        <v/>
      </c>
      <c r="K13" s="35" t="n"/>
      <c r="L13" s="36" t="n"/>
      <c r="M13" s="14" t="n"/>
      <c r="N13" s="34">
        <f>Calc!G31</f>
        <v/>
      </c>
      <c r="O13" s="35" t="n"/>
      <c r="P13" s="36" t="n"/>
      <c r="Q13" s="14" t="n"/>
      <c r="R13" s="34">
        <f>Calc!G28</f>
        <v/>
      </c>
      <c r="S13" s="35" t="n"/>
      <c r="T13" s="36" t="n"/>
      <c r="U13" s="14" t="n"/>
      <c r="V13" s="34">
        <f>Calc!G29</f>
        <v/>
      </c>
      <c r="W13" s="35" t="n"/>
      <c r="X13" s="36" t="n"/>
      <c r="Y13" s="14" t="n"/>
      <c r="Z13" s="14" t="n"/>
    </row>
    <row r="14" ht="14" customHeight="1">
      <c r="A14" s="14" t="n"/>
      <c r="B14" s="21" t="inlineStr">
        <is>
          <t>LFL = like-for-like: Sep–Dec 2014 vs Sep–Dec 2013, the only months present in both years (respects Segment, Country, Product filters). Green = favourable, red = unfavourable for that KPI (e.g. a higher discount rate or a larger loss is red). Cards show the selected Period.</t>
        </is>
      </c>
      <c r="Y14" s="14" t="n"/>
      <c r="Z14" s="14" t="n"/>
    </row>
    <row r="15" ht="8" customHeight="1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20" customHeight="1">
      <c r="A16" s="14" t="n"/>
      <c r="B16" s="22" t="inlineStr">
        <is>
          <t>2 · PERFORMANCE ANALYSIS</t>
        </is>
      </c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14" t="n"/>
      <c r="Z16" s="14" t="n"/>
    </row>
    <row r="17" ht="28" customHeight="1">
      <c r="A17" s="14" t="n"/>
      <c r="B17" s="37">
        <f>Calc!B122</f>
        <v/>
      </c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6" t="n"/>
      <c r="N17" s="37">
        <f>Calc!B123</f>
        <v/>
      </c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6" t="n"/>
      <c r="Y17" s="14" t="n"/>
      <c r="Z17" s="14" t="n"/>
    </row>
    <row r="18">
      <c r="A18" s="14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40" t="n"/>
      <c r="N18" s="38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40" t="n"/>
      <c r="Y18" s="14" t="n"/>
      <c r="Z18" s="14" t="n"/>
    </row>
    <row r="19">
      <c r="A19" s="14" t="n"/>
      <c r="B19" s="38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40" t="n"/>
      <c r="N19" s="38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40" t="n"/>
      <c r="Y19" s="14" t="n"/>
      <c r="Z19" s="14" t="n"/>
    </row>
    <row r="20">
      <c r="A20" s="14" t="n"/>
      <c r="B20" s="38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40" t="n"/>
      <c r="N20" s="38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40" t="n"/>
      <c r="Y20" s="14" t="n"/>
      <c r="Z20" s="14" t="n"/>
    </row>
    <row r="21">
      <c r="A21" s="14" t="n"/>
      <c r="B21" s="38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40" t="n"/>
      <c r="N21" s="38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40" t="n"/>
      <c r="Y21" s="14" t="n"/>
      <c r="Z21" s="14" t="n"/>
    </row>
    <row r="22">
      <c r="A22" s="14" t="n"/>
      <c r="B22" s="38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40" t="n"/>
      <c r="N22" s="38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40" t="n"/>
      <c r="Y22" s="14" t="n"/>
      <c r="Z22" s="14" t="n"/>
    </row>
    <row r="23">
      <c r="A23" s="14" t="n"/>
      <c r="B23" s="38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40" t="n"/>
      <c r="N23" s="38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40" t="n"/>
      <c r="Y23" s="14" t="n"/>
      <c r="Z23" s="14" t="n"/>
    </row>
    <row r="24">
      <c r="A24" s="14" t="n"/>
      <c r="B24" s="38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40" t="n"/>
      <c r="N24" s="38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40" t="n"/>
      <c r="Y24" s="14" t="n"/>
      <c r="Z24" s="14" t="n"/>
    </row>
    <row r="25">
      <c r="A25" s="14" t="n"/>
      <c r="B25" s="38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40" t="n"/>
      <c r="N25" s="38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40" t="n"/>
      <c r="Y25" s="14" t="n"/>
      <c r="Z25" s="14" t="n"/>
    </row>
    <row r="26">
      <c r="A26" s="14" t="n"/>
      <c r="B26" s="38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40" t="n"/>
      <c r="N26" s="38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40" t="n"/>
      <c r="Y26" s="14" t="n"/>
      <c r="Z26" s="14" t="n"/>
    </row>
    <row r="27">
      <c r="A27" s="14" t="n"/>
      <c r="B27" s="38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40" t="n"/>
      <c r="N27" s="38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40" t="n"/>
      <c r="Y27" s="14" t="n"/>
      <c r="Z27" s="14" t="n"/>
    </row>
    <row r="28">
      <c r="A28" s="14" t="n"/>
      <c r="B28" s="38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40" t="n"/>
      <c r="N28" s="38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40" t="n"/>
      <c r="Y28" s="14" t="n"/>
      <c r="Z28" s="14" t="n"/>
    </row>
    <row r="29">
      <c r="A29" s="14" t="n"/>
      <c r="B29" s="38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40" t="n"/>
      <c r="N29" s="38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40" t="n"/>
      <c r="Y29" s="14" t="n"/>
      <c r="Z29" s="14" t="n"/>
    </row>
    <row r="30">
      <c r="A30" s="14" t="n"/>
      <c r="B30" s="38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40" t="n"/>
      <c r="N30" s="38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40" t="n"/>
      <c r="Y30" s="14" t="n"/>
      <c r="Z30" s="14" t="n"/>
    </row>
    <row r="31">
      <c r="A31" s="14" t="n"/>
      <c r="B31" s="38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40" t="n"/>
      <c r="N31" s="38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40" t="n"/>
      <c r="Y31" s="14" t="n"/>
      <c r="Z31" s="14" t="n"/>
    </row>
    <row r="32">
      <c r="A32" s="14" t="n"/>
      <c r="B32" s="38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40" t="n"/>
      <c r="N32" s="38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40" t="n"/>
      <c r="Y32" s="14" t="n"/>
      <c r="Z32" s="14" t="n"/>
    </row>
    <row r="33">
      <c r="A33" s="14" t="n"/>
      <c r="B33" s="38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40" t="n"/>
      <c r="N33" s="38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40" t="n"/>
      <c r="Y33" s="14" t="n"/>
      <c r="Z33" s="14" t="n"/>
    </row>
    <row r="34">
      <c r="A34" s="14" t="n"/>
      <c r="B34" s="38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40" t="n"/>
      <c r="N34" s="38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40" t="n"/>
      <c r="Y34" s="14" t="n"/>
      <c r="Z34" s="14" t="n"/>
    </row>
    <row r="35">
      <c r="A35" s="14" t="n"/>
      <c r="B35" s="38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40" t="n"/>
      <c r="N35" s="38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40" t="n"/>
      <c r="Y35" s="14" t="n"/>
      <c r="Z35" s="14" t="n"/>
    </row>
    <row r="36">
      <c r="A36" s="14" t="n"/>
      <c r="B36" s="41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3" t="n"/>
      <c r="N36" s="41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3" t="n"/>
      <c r="Y36" s="14" t="n"/>
      <c r="Z36" s="14" t="n"/>
    </row>
    <row r="37" ht="8" customHeight="1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28" customHeight="1">
      <c r="A38" s="14" t="n"/>
      <c r="B38" s="37">
        <f>Calc!B124</f>
        <v/>
      </c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6" t="n"/>
      <c r="N38" s="37">
        <f>Calc!B125</f>
        <v/>
      </c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6" t="n"/>
      <c r="Y38" s="14" t="n"/>
      <c r="Z38" s="14" t="n"/>
    </row>
    <row r="39">
      <c r="A39" s="14" t="n"/>
      <c r="B39" s="38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40" t="n"/>
      <c r="N39" s="38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40" t="n"/>
      <c r="Y39" s="14" t="n"/>
      <c r="Z39" s="14" t="n"/>
    </row>
    <row r="40">
      <c r="A40" s="14" t="n"/>
      <c r="B40" s="38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40" t="n"/>
      <c r="N40" s="38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40" t="n"/>
      <c r="Y40" s="14" t="n"/>
      <c r="Z40" s="14" t="n"/>
    </row>
    <row r="41">
      <c r="A41" s="14" t="n"/>
      <c r="B41" s="38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40" t="n"/>
      <c r="N41" s="38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40" t="n"/>
      <c r="Y41" s="14" t="n"/>
      <c r="Z41" s="14" t="n"/>
    </row>
    <row r="42">
      <c r="A42" s="14" t="n"/>
      <c r="B42" s="38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40" t="n"/>
      <c r="N42" s="38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40" t="n"/>
      <c r="Y42" s="14" t="n"/>
      <c r="Z42" s="14" t="n"/>
    </row>
    <row r="43">
      <c r="A43" s="14" t="n"/>
      <c r="B43" s="38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40" t="n"/>
      <c r="N43" s="38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40" t="n"/>
      <c r="Y43" s="14" t="n"/>
      <c r="Z43" s="14" t="n"/>
    </row>
    <row r="44">
      <c r="A44" s="14" t="n"/>
      <c r="B44" s="38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40" t="n"/>
      <c r="N44" s="38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40" t="n"/>
      <c r="Y44" s="14" t="n"/>
      <c r="Z44" s="14" t="n"/>
    </row>
    <row r="45">
      <c r="A45" s="14" t="n"/>
      <c r="B45" s="38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40" t="n"/>
      <c r="N45" s="38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40" t="n"/>
      <c r="Y45" s="14" t="n"/>
      <c r="Z45" s="14" t="n"/>
    </row>
    <row r="46">
      <c r="A46" s="14" t="n"/>
      <c r="B46" s="38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40" t="n"/>
      <c r="N46" s="38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40" t="n"/>
      <c r="Y46" s="14" t="n"/>
      <c r="Z46" s="14" t="n"/>
    </row>
    <row r="47">
      <c r="A47" s="14" t="n"/>
      <c r="B47" s="38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40" t="n"/>
      <c r="N47" s="38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40" t="n"/>
      <c r="Y47" s="14" t="n"/>
      <c r="Z47" s="14" t="n"/>
    </row>
    <row r="48">
      <c r="A48" s="14" t="n"/>
      <c r="B48" s="38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40" t="n"/>
      <c r="N48" s="38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40" t="n"/>
      <c r="Y48" s="14" t="n"/>
      <c r="Z48" s="14" t="n"/>
    </row>
    <row r="49">
      <c r="A49" s="14" t="n"/>
      <c r="B49" s="38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40" t="n"/>
      <c r="N49" s="38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40" t="n"/>
      <c r="Y49" s="14" t="n"/>
      <c r="Z49" s="14" t="n"/>
    </row>
    <row r="50">
      <c r="A50" s="14" t="n"/>
      <c r="B50" s="38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40" t="n"/>
      <c r="N50" s="38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40" t="n"/>
      <c r="Y50" s="14" t="n"/>
      <c r="Z50" s="14" t="n"/>
    </row>
    <row r="51">
      <c r="A51" s="14" t="n"/>
      <c r="B51" s="38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40" t="n"/>
      <c r="N51" s="38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40" t="n"/>
      <c r="Y51" s="14" t="n"/>
      <c r="Z51" s="14" t="n"/>
    </row>
    <row r="52">
      <c r="A52" s="14" t="n"/>
      <c r="B52" s="38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40" t="n"/>
      <c r="N52" s="38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40" t="n"/>
      <c r="Y52" s="14" t="n"/>
      <c r="Z52" s="14" t="n"/>
    </row>
    <row r="53">
      <c r="A53" s="14" t="n"/>
      <c r="B53" s="38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40" t="n"/>
      <c r="N53" s="38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40" t="n"/>
      <c r="Y53" s="14" t="n"/>
      <c r="Z53" s="14" t="n"/>
    </row>
    <row r="54">
      <c r="A54" s="14" t="n"/>
      <c r="B54" s="38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40" t="n"/>
      <c r="N54" s="38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40" t="n"/>
      <c r="Y54" s="14" t="n"/>
      <c r="Z54" s="14" t="n"/>
    </row>
    <row r="55">
      <c r="A55" s="14" t="n"/>
      <c r="B55" s="38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40" t="n"/>
      <c r="N55" s="38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40" t="n"/>
      <c r="Y55" s="14" t="n"/>
      <c r="Z55" s="14" t="n"/>
    </row>
    <row r="56">
      <c r="A56" s="14" t="n"/>
      <c r="B56" s="38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40" t="n"/>
      <c r="N56" s="38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40" t="n"/>
      <c r="Y56" s="14" t="n"/>
      <c r="Z56" s="14" t="n"/>
    </row>
    <row r="57">
      <c r="A57" s="14" t="n"/>
      <c r="B57" s="41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3" t="n"/>
      <c r="N57" s="41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3" t="n"/>
      <c r="Y57" s="14" t="n"/>
      <c r="Z57" s="14" t="n"/>
    </row>
    <row r="58" ht="8" customHeight="1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20" customHeight="1">
      <c r="A59" s="14" t="n"/>
      <c r="B59" s="22" t="inlineStr">
        <is>
          <t>3 · DIAGNOSTICS</t>
        </is>
      </c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14" t="n"/>
      <c r="Z59" s="14" t="n"/>
    </row>
    <row r="60">
      <c r="A60" s="14" t="n"/>
      <c r="B60" s="44">
        <f>Calc!B126</f>
        <v/>
      </c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6" t="n"/>
      <c r="N60" s="44" t="inlineStr">
        <is>
          <t>Product performance (ignores Product filter)</t>
        </is>
      </c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6" t="n"/>
      <c r="Y60" s="14" t="n"/>
      <c r="Z60" s="14" t="n"/>
    </row>
    <row r="61">
      <c r="A61" s="14" t="n"/>
      <c r="B61" s="45" t="inlineStr">
        <is>
          <t>Segment</t>
        </is>
      </c>
      <c r="E61" s="46" t="inlineStr">
        <is>
          <t>No discount</t>
        </is>
      </c>
      <c r="G61" s="46" t="inlineStr">
        <is>
          <t>Low</t>
        </is>
      </c>
      <c r="I61" s="46" t="inlineStr">
        <is>
          <t>Medium</t>
        </is>
      </c>
      <c r="K61" s="46" t="inlineStr">
        <is>
          <t>High</t>
        </is>
      </c>
      <c r="M61" s="47" t="inlineStr">
        <is>
          <t>All</t>
        </is>
      </c>
      <c r="N61" s="45" t="inlineStr">
        <is>
          <t>Product</t>
        </is>
      </c>
      <c r="Q61" s="46" t="inlineStr">
        <is>
          <t>Net sales</t>
        </is>
      </c>
      <c r="S61" s="46" t="inlineStr">
        <is>
          <t>Profit</t>
        </is>
      </c>
      <c r="U61" s="46" t="inlineStr">
        <is>
          <t>Margin</t>
        </is>
      </c>
      <c r="W61" s="47" t="inlineStr">
        <is>
          <t>Profit share</t>
        </is>
      </c>
      <c r="X61" s="28" t="n"/>
      <c r="Y61" s="14" t="n"/>
      <c r="Z61" s="14" t="n"/>
    </row>
    <row r="62">
      <c r="A62" s="14" t="n"/>
      <c r="B62" s="48">
        <f>Calc!A94</f>
        <v/>
      </c>
      <c r="E62" s="49">
        <f>Calc!B94</f>
        <v/>
      </c>
      <c r="G62" s="49">
        <f>Calc!C94</f>
        <v/>
      </c>
      <c r="I62" s="49">
        <f>Calc!D94</f>
        <v/>
      </c>
      <c r="K62" s="49">
        <f>Calc!E94</f>
        <v/>
      </c>
      <c r="M62" s="50">
        <f>Calc!F94</f>
        <v/>
      </c>
      <c r="N62" s="48">
        <f>Calc!A66</f>
        <v/>
      </c>
      <c r="Q62" s="51">
        <f>Calc!B66</f>
        <v/>
      </c>
      <c r="S62" s="52">
        <f>Calc!C66</f>
        <v/>
      </c>
      <c r="U62" s="53">
        <f>Calc!D66</f>
        <v/>
      </c>
      <c r="W62" s="54">
        <f>Calc!G66</f>
        <v/>
      </c>
      <c r="X62" s="28" t="n"/>
      <c r="Y62" s="14" t="n"/>
      <c r="Z62" s="14" t="n"/>
    </row>
    <row r="63">
      <c r="A63" s="14" t="n"/>
      <c r="B63" s="48">
        <f>Calc!A95</f>
        <v/>
      </c>
      <c r="E63" s="49">
        <f>Calc!B95</f>
        <v/>
      </c>
      <c r="G63" s="49">
        <f>Calc!C95</f>
        <v/>
      </c>
      <c r="I63" s="49">
        <f>Calc!D95</f>
        <v/>
      </c>
      <c r="K63" s="49">
        <f>Calc!E95</f>
        <v/>
      </c>
      <c r="M63" s="50">
        <f>Calc!F95</f>
        <v/>
      </c>
      <c r="N63" s="48">
        <f>Calc!A67</f>
        <v/>
      </c>
      <c r="Q63" s="51">
        <f>Calc!B67</f>
        <v/>
      </c>
      <c r="S63" s="52">
        <f>Calc!C67</f>
        <v/>
      </c>
      <c r="U63" s="53">
        <f>Calc!D67</f>
        <v/>
      </c>
      <c r="W63" s="54">
        <f>Calc!G67</f>
        <v/>
      </c>
      <c r="X63" s="28" t="n"/>
      <c r="Y63" s="14" t="n"/>
      <c r="Z63" s="14" t="n"/>
    </row>
    <row r="64">
      <c r="A64" s="14" t="n"/>
      <c r="B64" s="48">
        <f>Calc!A96</f>
        <v/>
      </c>
      <c r="E64" s="49">
        <f>Calc!B96</f>
        <v/>
      </c>
      <c r="G64" s="49">
        <f>Calc!C96</f>
        <v/>
      </c>
      <c r="I64" s="49">
        <f>Calc!D96</f>
        <v/>
      </c>
      <c r="K64" s="49">
        <f>Calc!E96</f>
        <v/>
      </c>
      <c r="M64" s="50">
        <f>Calc!F96</f>
        <v/>
      </c>
      <c r="N64" s="48">
        <f>Calc!A68</f>
        <v/>
      </c>
      <c r="Q64" s="51">
        <f>Calc!B68</f>
        <v/>
      </c>
      <c r="S64" s="52">
        <f>Calc!C68</f>
        <v/>
      </c>
      <c r="U64" s="53">
        <f>Calc!D68</f>
        <v/>
      </c>
      <c r="W64" s="54">
        <f>Calc!G68</f>
        <v/>
      </c>
      <c r="X64" s="28" t="n"/>
      <c r="Y64" s="14" t="n"/>
      <c r="Z64" s="14" t="n"/>
    </row>
    <row r="65">
      <c r="A65" s="14" t="n"/>
      <c r="B65" s="48">
        <f>Calc!A97</f>
        <v/>
      </c>
      <c r="E65" s="49">
        <f>Calc!B97</f>
        <v/>
      </c>
      <c r="G65" s="49">
        <f>Calc!C97</f>
        <v/>
      </c>
      <c r="I65" s="49">
        <f>Calc!D97</f>
        <v/>
      </c>
      <c r="K65" s="49">
        <f>Calc!E97</f>
        <v/>
      </c>
      <c r="M65" s="50">
        <f>Calc!F97</f>
        <v/>
      </c>
      <c r="N65" s="48">
        <f>Calc!A69</f>
        <v/>
      </c>
      <c r="Q65" s="51">
        <f>Calc!B69</f>
        <v/>
      </c>
      <c r="S65" s="52">
        <f>Calc!C69</f>
        <v/>
      </c>
      <c r="U65" s="53">
        <f>Calc!D69</f>
        <v/>
      </c>
      <c r="W65" s="54">
        <f>Calc!G69</f>
        <v/>
      </c>
      <c r="X65" s="28" t="n"/>
      <c r="Y65" s="14" t="n"/>
      <c r="Z65" s="14" t="n"/>
    </row>
    <row r="66">
      <c r="A66" s="14" t="n"/>
      <c r="B66" s="48">
        <f>Calc!A98</f>
        <v/>
      </c>
      <c r="E66" s="49">
        <f>Calc!B98</f>
        <v/>
      </c>
      <c r="G66" s="49">
        <f>Calc!C98</f>
        <v/>
      </c>
      <c r="I66" s="49">
        <f>Calc!D98</f>
        <v/>
      </c>
      <c r="K66" s="49">
        <f>Calc!E98</f>
        <v/>
      </c>
      <c r="M66" s="50">
        <f>Calc!F98</f>
        <v/>
      </c>
      <c r="N66" s="48">
        <f>Calc!A70</f>
        <v/>
      </c>
      <c r="Q66" s="51">
        <f>Calc!B70</f>
        <v/>
      </c>
      <c r="S66" s="52">
        <f>Calc!C70</f>
        <v/>
      </c>
      <c r="U66" s="53">
        <f>Calc!D70</f>
        <v/>
      </c>
      <c r="W66" s="54">
        <f>Calc!G70</f>
        <v/>
      </c>
      <c r="X66" s="28" t="n"/>
      <c r="Y66" s="14" t="n"/>
      <c r="Z66" s="14" t="n"/>
    </row>
    <row r="67">
      <c r="A67" s="14" t="n"/>
      <c r="B67" s="55">
        <f>Calc!A99</f>
        <v/>
      </c>
      <c r="E67" s="56">
        <f>Calc!B99</f>
        <v/>
      </c>
      <c r="G67" s="56">
        <f>Calc!C99</f>
        <v/>
      </c>
      <c r="I67" s="56">
        <f>Calc!D99</f>
        <v/>
      </c>
      <c r="K67" s="56">
        <f>Calc!E99</f>
        <v/>
      </c>
      <c r="M67" s="57">
        <f>Calc!F99</f>
        <v/>
      </c>
      <c r="N67" s="48">
        <f>Calc!A71</f>
        <v/>
      </c>
      <c r="Q67" s="51">
        <f>Calc!B71</f>
        <v/>
      </c>
      <c r="S67" s="52">
        <f>Calc!C71</f>
        <v/>
      </c>
      <c r="U67" s="53">
        <f>Calc!D71</f>
        <v/>
      </c>
      <c r="W67" s="54">
        <f>Calc!G71</f>
        <v/>
      </c>
      <c r="X67" s="28" t="n"/>
      <c r="Y67" s="14" t="n"/>
      <c r="Z67" s="14" t="n"/>
    </row>
    <row r="68" ht="24" customHeight="1">
      <c r="A68" s="14" t="n"/>
      <c r="B68" s="58" t="inlineStr">
        <is>
          <t>Margin = profit ÷ net sales. Bands are the dataset’s own labels; mix differs by segment, so read down each row, not across segments.</t>
        </is>
      </c>
      <c r="M68" s="28" t="n"/>
      <c r="N68" s="38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40" t="n"/>
      <c r="Y68" s="14" t="n"/>
      <c r="Z68" s="14" t="n"/>
    </row>
    <row r="69">
      <c r="A69" s="14" t="n"/>
      <c r="B69" s="41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3" t="n"/>
      <c r="N69" s="41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3" t="n"/>
      <c r="Y69" s="14" t="n"/>
      <c r="Z69" s="14" t="n"/>
    </row>
    <row r="70">
      <c r="A70" s="14" t="n"/>
      <c r="B70" s="44" t="inlineStr">
        <is>
          <t>Enterprise unit economics — why discounts erase profit</t>
        </is>
      </c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6" t="n"/>
      <c r="N70" s="44" t="inlineStr">
        <is>
          <t>Country performance (ignores Country filter)</t>
        </is>
      </c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6" t="n"/>
      <c r="Y70" s="14" t="n"/>
      <c r="Z70" s="14" t="n"/>
    </row>
    <row r="71">
      <c r="A71" s="14" t="n"/>
      <c r="B71" s="48" t="inlineStr">
        <is>
          <t>Avg list price per unit</t>
        </is>
      </c>
      <c r="J71" s="59">
        <f>Calc!B111</f>
        <v/>
      </c>
      <c r="M71" s="28" t="n"/>
      <c r="N71" s="45" t="inlineStr">
        <is>
          <t>Country</t>
        </is>
      </c>
      <c r="Q71" s="46" t="inlineStr">
        <is>
          <t>Net sales</t>
        </is>
      </c>
      <c r="S71" s="46" t="inlineStr">
        <is>
          <t>Profit</t>
        </is>
      </c>
      <c r="U71" s="46" t="inlineStr">
        <is>
          <t>Margin</t>
        </is>
      </c>
      <c r="W71" s="47" t="inlineStr">
        <is>
          <t>Profit share</t>
        </is>
      </c>
      <c r="X71" s="28" t="n"/>
      <c r="Y71" s="14" t="n"/>
      <c r="Z71" s="14" t="n"/>
    </row>
    <row r="72">
      <c r="A72" s="14" t="n"/>
      <c r="B72" s="48" t="inlineStr">
        <is>
          <t>Avg COGS per unit</t>
        </is>
      </c>
      <c r="J72" s="59">
        <f>Calc!B112</f>
        <v/>
      </c>
      <c r="M72" s="28" t="n"/>
      <c r="N72" s="48">
        <f>Calc!A76</f>
        <v/>
      </c>
      <c r="Q72" s="51">
        <f>Calc!B76</f>
        <v/>
      </c>
      <c r="S72" s="52">
        <f>Calc!C76</f>
        <v/>
      </c>
      <c r="U72" s="53">
        <f>Calc!D76</f>
        <v/>
      </c>
      <c r="W72" s="54">
        <f>Calc!G76</f>
        <v/>
      </c>
      <c r="X72" s="28" t="n"/>
      <c r="Y72" s="14" t="n"/>
      <c r="Z72" s="14" t="n"/>
    </row>
    <row r="73">
      <c r="A73" s="14" t="n"/>
      <c r="B73" s="48" t="inlineStr">
        <is>
          <t>Margin before discounts (break-even discount)</t>
        </is>
      </c>
      <c r="J73" s="60">
        <f>Calc!B113</f>
        <v/>
      </c>
      <c r="M73" s="28" t="n"/>
      <c r="N73" s="48">
        <f>Calc!A77</f>
        <v/>
      </c>
      <c r="Q73" s="51">
        <f>Calc!B77</f>
        <v/>
      </c>
      <c r="S73" s="52">
        <f>Calc!C77</f>
        <v/>
      </c>
      <c r="U73" s="53">
        <f>Calc!D77</f>
        <v/>
      </c>
      <c r="W73" s="54">
        <f>Calc!G77</f>
        <v/>
      </c>
      <c r="X73" s="28" t="n"/>
      <c r="Y73" s="14" t="n"/>
      <c r="Z73" s="14" t="n"/>
    </row>
    <row r="74">
      <c r="A74" s="14" t="n"/>
      <c r="B74" s="48" t="inlineStr">
        <is>
          <t>Average discount rate actually given</t>
        </is>
      </c>
      <c r="J74" s="60">
        <f>Calc!B114</f>
        <v/>
      </c>
      <c r="M74" s="28" t="n"/>
      <c r="N74" s="48">
        <f>Calc!A78</f>
        <v/>
      </c>
      <c r="Q74" s="51">
        <f>Calc!B78</f>
        <v/>
      </c>
      <c r="S74" s="52">
        <f>Calc!C78</f>
        <v/>
      </c>
      <c r="U74" s="53">
        <f>Calc!D78</f>
        <v/>
      </c>
      <c r="W74" s="54">
        <f>Calc!G78</f>
        <v/>
      </c>
      <c r="X74" s="28" t="n"/>
      <c r="Y74" s="14" t="n"/>
      <c r="Z74" s="14" t="n"/>
    </row>
    <row r="75">
      <c r="A75" s="14" t="n"/>
      <c r="B75" s="48" t="inlineStr">
        <is>
          <t>Loss-making orders / total orders</t>
        </is>
      </c>
      <c r="J75" s="61">
        <f>Calc!B116&amp;" / "&amp;Calc!B115</f>
        <v/>
      </c>
      <c r="M75" s="28" t="n"/>
      <c r="N75" s="48">
        <f>Calc!A79</f>
        <v/>
      </c>
      <c r="Q75" s="51">
        <f>Calc!B79</f>
        <v/>
      </c>
      <c r="S75" s="52">
        <f>Calc!C79</f>
        <v/>
      </c>
      <c r="U75" s="53">
        <f>Calc!D79</f>
        <v/>
      </c>
      <c r="W75" s="54">
        <f>Calc!G79</f>
        <v/>
      </c>
      <c r="X75" s="28" t="n"/>
      <c r="Y75" s="14" t="n"/>
      <c r="Z75" s="14" t="n"/>
    </row>
    <row r="76">
      <c r="A76" s="14" t="n"/>
      <c r="B76" s="48" t="inlineStr">
        <is>
          <t>Loss orders in Medium/High discount bands</t>
        </is>
      </c>
      <c r="J76" s="62">
        <f>Calc!B117</f>
        <v/>
      </c>
      <c r="M76" s="28" t="n"/>
      <c r="N76" s="48">
        <f>Calc!A80</f>
        <v/>
      </c>
      <c r="Q76" s="51">
        <f>Calc!B80</f>
        <v/>
      </c>
      <c r="S76" s="52">
        <f>Calc!C80</f>
        <v/>
      </c>
      <c r="U76" s="53">
        <f>Calc!D80</f>
        <v/>
      </c>
      <c r="W76" s="54">
        <f>Calc!G80</f>
        <v/>
      </c>
      <c r="X76" s="28" t="n"/>
      <c r="Y76" s="14" t="n"/>
      <c r="Z76" s="14" t="n"/>
    </row>
    <row r="77">
      <c r="A77" s="14" t="n"/>
      <c r="B77" s="63" t="inlineStr">
        <is>
          <t>Fact: average Enterprise COGS is close to its list price, leaving a thin pre-discount margin. Interpretation (to verify): discounts above that margin make an order loss-making.</t>
        </is>
      </c>
      <c r="M77" s="28" t="n"/>
      <c r="N77" s="63">
        <f>"Lowest-margin country: "&amp;INDEX(Calc!A76:A80,MATCH(MIN(Calc!D76:D80),Calc!D76:D80,0))&amp;" ("&amp;TEXT(MIN(Calc!D76:D80),"0.0%")&amp;"). Margin gaps between products and countries are narrow compared with the gaps between segments."</f>
        <v/>
      </c>
      <c r="X77" s="28" t="n"/>
      <c r="Y77" s="14" t="n"/>
      <c r="Z77" s="14" t="n"/>
    </row>
    <row r="78">
      <c r="A78" s="14" t="n"/>
      <c r="B78" s="64" t="n"/>
      <c r="M78" s="28" t="n"/>
      <c r="N78" s="65" t="n"/>
      <c r="O78" s="35" t="n"/>
      <c r="P78" s="35" t="n"/>
      <c r="Q78" s="35" t="n"/>
      <c r="R78" s="35" t="n"/>
      <c r="S78" s="35" t="n"/>
      <c r="T78" s="35" t="n"/>
      <c r="U78" s="35" t="n"/>
      <c r="V78" s="35" t="n"/>
      <c r="W78" s="35" t="n"/>
      <c r="X78" s="36" t="n"/>
      <c r="Y78" s="14" t="n"/>
      <c r="Z78" s="14" t="n"/>
    </row>
    <row r="79">
      <c r="A79" s="14" t="n"/>
      <c r="B79" s="65" t="n"/>
      <c r="C79" s="35" t="n"/>
      <c r="D79" s="35" t="n"/>
      <c r="E79" s="35" t="n"/>
      <c r="F79" s="35" t="n"/>
      <c r="G79" s="35" t="n"/>
      <c r="H79" s="35" t="n"/>
      <c r="I79" s="35" t="n"/>
      <c r="J79" s="35" t="n"/>
      <c r="K79" s="35" t="n"/>
      <c r="L79" s="35" t="n"/>
      <c r="M79" s="36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8" customHeight="1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20" customHeight="1">
      <c r="A81" s="14" t="n"/>
      <c r="B81" s="22" t="inlineStr">
        <is>
          <t>4 · INSIGHTS AND ACTIONS (written from the full dataset, Sep 2013 – Dec 2014; do not change with the filters)</t>
        </is>
      </c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14" t="n"/>
      <c r="Z81" s="14" t="n"/>
    </row>
    <row r="82">
      <c r="A82" s="14" t="n"/>
      <c r="B82" s="66" t="inlineStr">
        <is>
          <t>KEY FINDINGS (facts)</t>
        </is>
      </c>
      <c r="C82" s="25" t="n"/>
      <c r="D82" s="25" t="n"/>
      <c r="E82" s="25" t="n"/>
      <c r="F82" s="25" t="n"/>
      <c r="G82" s="25" t="n"/>
      <c r="H82" s="26" t="n"/>
      <c r="I82" s="14" t="n"/>
      <c r="J82" s="66" t="inlineStr">
        <is>
          <t>RISKS AND ANOMALIES</t>
        </is>
      </c>
      <c r="K82" s="25" t="n"/>
      <c r="L82" s="25" t="n"/>
      <c r="M82" s="25" t="n"/>
      <c r="N82" s="25" t="n"/>
      <c r="O82" s="25" t="n"/>
      <c r="P82" s="26" t="n"/>
      <c r="Q82" s="14" t="n"/>
      <c r="R82" s="66" t="inlineStr">
        <is>
          <t>RECOMMENDED ACTIONS</t>
        </is>
      </c>
      <c r="S82" s="25" t="n"/>
      <c r="T82" s="25" t="n"/>
      <c r="U82" s="25" t="n"/>
      <c r="V82" s="25" t="n"/>
      <c r="W82" s="25" t="n"/>
      <c r="X82" s="26" t="n"/>
      <c r="Y82" s="14" t="n"/>
      <c r="Z82" s="14" t="n"/>
    </row>
    <row r="83">
      <c r="A83" s="14" t="n"/>
      <c r="B83" s="67" t="inlineStr">
        <is>
          <t>• Government delivers 45% of net sales but 67% of profit; Small Business adds 25%. Two segments carry the business.
• Enterprise is the only loss-making segment: $0.61M net loss on $18.76M sales (-3.3% margin). 58 of 95 Enterprise orders lose money.
• Growth is not profit: Enterprise like-for-like sales rose +40% (Sep–Dec) while its net loss widened from $0.19M to $0.22M.
• Company like-for-like (Sep–Dec): sales +36%, profit +40%, margin 14.7% → 15.1%, discount rate 7.5% → 6.4%.
• Margin falls as discount band rises (21.9% none → 9.1% High), and the same ordering holds inside every segment (see heatmap). This is an association, not proof of cause.</t>
        </is>
      </c>
      <c r="H83" s="28" t="n"/>
      <c r="I83" s="14" t="n"/>
      <c r="J83" s="67" t="inlineStr">
        <is>
          <t>• Enterprise average list price is $125/unit against COGS of $120/unit: a 4% margin before discount. All 58 loss orders carry discounts of 5–15%; profitable Enterprise orders carry 0–3%.
• Channel Partners shows a 73% margin on only 1.5% of sales. Unusually high: check its COGS before treating it as an opportunity.
• Data checks: COGS does not equal units × Manufacturing_Price, and Sale_Price varies by segment (Government product prices of $7, $20 and $350). COGS and Sales are used as reported.
• Revenue and profit are concentrated: a drop in Government would hit profit hard.
• The Date column has day and month swapped; Year and Month_Number are used instead. 2013 has only 4 months, so no full-year comparison is possible.</t>
        </is>
      </c>
      <c r="P83" s="28" t="n"/>
      <c r="Q83" s="14" t="n"/>
      <c r="R83" s="67" t="inlineStr">
        <is>
          <t>1. Review Enterprise pricing and discount policy: set an approval threshold near the break-even discount (about 4%) and re-test the segment’s list price against COGS.
2. Re-check the 58 loss-making Enterprise orders: who approved the discounts, and were they tied to volume or strategic accounts?
3. Validate Channel Partners costs with finance; if margin is real, test whether the segment can scale.
4. Reconcile COGS with Manufacturing_Price and the Government price list; fix the Date field at source.
5. Supply targets/budget and full-year 2013 data so performance can be judged against plan, not just against a partial prior period.
Questions to investigate: Why does the United States have the lowest margin? (Hypothesis: heavier Enterprise and Small Business mix. Not proven.)</t>
        </is>
      </c>
      <c r="X83" s="28" t="n"/>
      <c r="Y83" s="14" t="n"/>
      <c r="Z83" s="14" t="n"/>
    </row>
    <row r="84">
      <c r="A84" s="14" t="n"/>
      <c r="B84" s="64" t="n"/>
      <c r="H84" s="28" t="n"/>
      <c r="I84" s="14" t="n"/>
      <c r="J84" s="64" t="n"/>
      <c r="P84" s="28" t="n"/>
      <c r="Q84" s="14" t="n"/>
      <c r="R84" s="64" t="n"/>
      <c r="X84" s="28" t="n"/>
      <c r="Y84" s="14" t="n"/>
      <c r="Z84" s="14" t="n"/>
    </row>
    <row r="85">
      <c r="A85" s="14" t="n"/>
      <c r="B85" s="64" t="n"/>
      <c r="H85" s="28" t="n"/>
      <c r="I85" s="14" t="n"/>
      <c r="J85" s="64" t="n"/>
      <c r="P85" s="28" t="n"/>
      <c r="Q85" s="14" t="n"/>
      <c r="R85" s="64" t="n"/>
      <c r="X85" s="28" t="n"/>
      <c r="Y85" s="14" t="n"/>
      <c r="Z85" s="14" t="n"/>
    </row>
    <row r="86">
      <c r="A86" s="14" t="n"/>
      <c r="B86" s="64" t="n"/>
      <c r="H86" s="28" t="n"/>
      <c r="I86" s="14" t="n"/>
      <c r="J86" s="64" t="n"/>
      <c r="P86" s="28" t="n"/>
      <c r="Q86" s="14" t="n"/>
      <c r="R86" s="64" t="n"/>
      <c r="X86" s="28" t="n"/>
      <c r="Y86" s="14" t="n"/>
      <c r="Z86" s="14" t="n"/>
    </row>
    <row r="87">
      <c r="A87" s="14" t="n"/>
      <c r="B87" s="64" t="n"/>
      <c r="H87" s="28" t="n"/>
      <c r="I87" s="14" t="n"/>
      <c r="J87" s="64" t="n"/>
      <c r="P87" s="28" t="n"/>
      <c r="Q87" s="14" t="n"/>
      <c r="R87" s="64" t="n"/>
      <c r="X87" s="28" t="n"/>
      <c r="Y87" s="14" t="n"/>
      <c r="Z87" s="14" t="n"/>
    </row>
    <row r="88">
      <c r="A88" s="14" t="n"/>
      <c r="B88" s="64" t="n"/>
      <c r="H88" s="28" t="n"/>
      <c r="I88" s="14" t="n"/>
      <c r="J88" s="64" t="n"/>
      <c r="P88" s="28" t="n"/>
      <c r="Q88" s="14" t="n"/>
      <c r="R88" s="64" t="n"/>
      <c r="X88" s="28" t="n"/>
      <c r="Y88" s="14" t="n"/>
      <c r="Z88" s="14" t="n"/>
    </row>
    <row r="89">
      <c r="A89" s="14" t="n"/>
      <c r="B89" s="64" t="n"/>
      <c r="H89" s="28" t="n"/>
      <c r="I89" s="14" t="n"/>
      <c r="J89" s="64" t="n"/>
      <c r="P89" s="28" t="n"/>
      <c r="Q89" s="14" t="n"/>
      <c r="R89" s="64" t="n"/>
      <c r="X89" s="28" t="n"/>
      <c r="Y89" s="14" t="n"/>
      <c r="Z89" s="14" t="n"/>
    </row>
    <row r="90">
      <c r="A90" s="14" t="n"/>
      <c r="B90" s="64" t="n"/>
      <c r="H90" s="28" t="n"/>
      <c r="I90" s="14" t="n"/>
      <c r="J90" s="64" t="n"/>
      <c r="P90" s="28" t="n"/>
      <c r="Q90" s="14" t="n"/>
      <c r="R90" s="64" t="n"/>
      <c r="X90" s="28" t="n"/>
      <c r="Y90" s="14" t="n"/>
      <c r="Z90" s="14" t="n"/>
    </row>
    <row r="91">
      <c r="A91" s="14" t="n"/>
      <c r="B91" s="64" t="n"/>
      <c r="H91" s="28" t="n"/>
      <c r="I91" s="14" t="n"/>
      <c r="J91" s="64" t="n"/>
      <c r="P91" s="28" t="n"/>
      <c r="Q91" s="14" t="n"/>
      <c r="R91" s="64" t="n"/>
      <c r="X91" s="28" t="n"/>
      <c r="Y91" s="14" t="n"/>
      <c r="Z91" s="14" t="n"/>
    </row>
    <row r="92">
      <c r="A92" s="14" t="n"/>
      <c r="B92" s="64" t="n"/>
      <c r="H92" s="28" t="n"/>
      <c r="I92" s="14" t="n"/>
      <c r="J92" s="64" t="n"/>
      <c r="P92" s="28" t="n"/>
      <c r="Q92" s="14" t="n"/>
      <c r="R92" s="64" t="n"/>
      <c r="X92" s="28" t="n"/>
      <c r="Y92" s="14" t="n"/>
      <c r="Z92" s="14" t="n"/>
    </row>
    <row r="93">
      <c r="A93" s="14" t="n"/>
      <c r="B93" s="64" t="n"/>
      <c r="H93" s="28" t="n"/>
      <c r="I93" s="14" t="n"/>
      <c r="J93" s="64" t="n"/>
      <c r="P93" s="28" t="n"/>
      <c r="Q93" s="14" t="n"/>
      <c r="R93" s="64" t="n"/>
      <c r="X93" s="28" t="n"/>
      <c r="Y93" s="14" t="n"/>
      <c r="Z93" s="14" t="n"/>
    </row>
    <row r="94">
      <c r="A94" s="14" t="n"/>
      <c r="B94" s="65" t="n"/>
      <c r="C94" s="35" t="n"/>
      <c r="D94" s="35" t="n"/>
      <c r="E94" s="35" t="n"/>
      <c r="F94" s="35" t="n"/>
      <c r="G94" s="35" t="n"/>
      <c r="H94" s="36" t="n"/>
      <c r="I94" s="14" t="n"/>
      <c r="J94" s="65" t="n"/>
      <c r="K94" s="35" t="n"/>
      <c r="L94" s="35" t="n"/>
      <c r="M94" s="35" t="n"/>
      <c r="N94" s="35" t="n"/>
      <c r="O94" s="35" t="n"/>
      <c r="P94" s="36" t="n"/>
      <c r="Q94" s="14" t="n"/>
      <c r="R94" s="65" t="n"/>
      <c r="S94" s="35" t="n"/>
      <c r="T94" s="35" t="n"/>
      <c r="U94" s="35" t="n"/>
      <c r="V94" s="35" t="n"/>
      <c r="W94" s="35" t="n"/>
      <c r="X94" s="36" t="n"/>
      <c r="Y94" s="14" t="n"/>
      <c r="Z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</sheetData>
  <mergeCells count="169">
    <mergeCell ref="S72:T72"/>
    <mergeCell ref="E62:F62"/>
    <mergeCell ref="B60:M60"/>
    <mergeCell ref="B72:I72"/>
    <mergeCell ref="B16:X16"/>
    <mergeCell ref="Q62:R62"/>
    <mergeCell ref="S62:T62"/>
    <mergeCell ref="Q71:R71"/>
    <mergeCell ref="S71:T71"/>
    <mergeCell ref="U65:V65"/>
    <mergeCell ref="J76:M76"/>
    <mergeCell ref="E64:F64"/>
    <mergeCell ref="W65:X65"/>
    <mergeCell ref="N67:P67"/>
    <mergeCell ref="Q64:R64"/>
    <mergeCell ref="Q73:R73"/>
    <mergeCell ref="S73:T73"/>
    <mergeCell ref="E63:F63"/>
    <mergeCell ref="W63:X63"/>
    <mergeCell ref="N9:P9"/>
    <mergeCell ref="G66:H66"/>
    <mergeCell ref="F9:H9"/>
    <mergeCell ref="I66:J66"/>
    <mergeCell ref="Q63:R63"/>
    <mergeCell ref="R82:X82"/>
    <mergeCell ref="E65:F65"/>
    <mergeCell ref="B73:I73"/>
    <mergeCell ref="K67:L67"/>
    <mergeCell ref="N38:X38"/>
    <mergeCell ref="V12:X12"/>
    <mergeCell ref="B62:D62"/>
    <mergeCell ref="Q74:R74"/>
    <mergeCell ref="S74:T74"/>
    <mergeCell ref="B74:I74"/>
    <mergeCell ref="J83:P94"/>
    <mergeCell ref="Q76:R76"/>
    <mergeCell ref="J13:L13"/>
    <mergeCell ref="U67:V67"/>
    <mergeCell ref="S76:T76"/>
    <mergeCell ref="W67:X67"/>
    <mergeCell ref="B6:X6"/>
    <mergeCell ref="V13:X13"/>
    <mergeCell ref="B76:I76"/>
    <mergeCell ref="F12:H12"/>
    <mergeCell ref="H5:L5"/>
    <mergeCell ref="Q66:R66"/>
    <mergeCell ref="Q75:R75"/>
    <mergeCell ref="S75:T75"/>
    <mergeCell ref="N4:R4"/>
    <mergeCell ref="B75:I75"/>
    <mergeCell ref="N71:P71"/>
    <mergeCell ref="E67:F67"/>
    <mergeCell ref="G67:H67"/>
    <mergeCell ref="B17:M17"/>
    <mergeCell ref="G61:H61"/>
    <mergeCell ref="I61:J61"/>
    <mergeCell ref="N73:P73"/>
    <mergeCell ref="B81:X81"/>
    <mergeCell ref="T4:X4"/>
    <mergeCell ref="J71:M71"/>
    <mergeCell ref="K64:L64"/>
    <mergeCell ref="S61:T61"/>
    <mergeCell ref="U61:V61"/>
    <mergeCell ref="W64:X64"/>
    <mergeCell ref="J10:L11"/>
    <mergeCell ref="K63:L63"/>
    <mergeCell ref="B9:D9"/>
    <mergeCell ref="J73:M73"/>
    <mergeCell ref="G62:H62"/>
    <mergeCell ref="B2:X2"/>
    <mergeCell ref="B68:M68"/>
    <mergeCell ref="R9:T9"/>
    <mergeCell ref="U71:V71"/>
    <mergeCell ref="G65:H65"/>
    <mergeCell ref="W71:X71"/>
    <mergeCell ref="Q65:R65"/>
    <mergeCell ref="S65:T65"/>
    <mergeCell ref="U73:V73"/>
    <mergeCell ref="W73:X73"/>
    <mergeCell ref="R83:X94"/>
    <mergeCell ref="B82:H82"/>
    <mergeCell ref="B5:F5"/>
    <mergeCell ref="R13:T13"/>
    <mergeCell ref="K66:L66"/>
    <mergeCell ref="S63:T63"/>
    <mergeCell ref="U63:V63"/>
    <mergeCell ref="E66:F66"/>
    <mergeCell ref="N12:P12"/>
    <mergeCell ref="N72:P72"/>
    <mergeCell ref="B4:F4"/>
    <mergeCell ref="B70:M70"/>
    <mergeCell ref="J75:M75"/>
    <mergeCell ref="N70:X70"/>
    <mergeCell ref="N62:P62"/>
    <mergeCell ref="R12:T12"/>
    <mergeCell ref="T5:X5"/>
    <mergeCell ref="B13:D13"/>
    <mergeCell ref="B59:X59"/>
    <mergeCell ref="H4:L4"/>
    <mergeCell ref="N64:P64"/>
    <mergeCell ref="F10:H11"/>
    <mergeCell ref="F13:H13"/>
    <mergeCell ref="Q67:R67"/>
    <mergeCell ref="S67:T67"/>
    <mergeCell ref="R10:T11"/>
    <mergeCell ref="Q72:R72"/>
    <mergeCell ref="B65:D65"/>
    <mergeCell ref="V10:X11"/>
    <mergeCell ref="N17:X17"/>
    <mergeCell ref="U72:V72"/>
    <mergeCell ref="B8:X8"/>
    <mergeCell ref="B63:D63"/>
    <mergeCell ref="N65:P65"/>
    <mergeCell ref="I62:J62"/>
    <mergeCell ref="W72:X72"/>
    <mergeCell ref="N74:P74"/>
    <mergeCell ref="U62:V62"/>
    <mergeCell ref="E61:F61"/>
    <mergeCell ref="G64:H64"/>
    <mergeCell ref="I64:J64"/>
    <mergeCell ref="Q61:R61"/>
    <mergeCell ref="N76:P76"/>
    <mergeCell ref="J74:M74"/>
    <mergeCell ref="B66:D66"/>
    <mergeCell ref="N60:X60"/>
    <mergeCell ref="S64:T64"/>
    <mergeCell ref="U64:V64"/>
    <mergeCell ref="K65:L65"/>
    <mergeCell ref="G63:H63"/>
    <mergeCell ref="N66:P66"/>
    <mergeCell ref="I63:J63"/>
    <mergeCell ref="N77:X78"/>
    <mergeCell ref="N75:P75"/>
    <mergeCell ref="J9:L9"/>
    <mergeCell ref="B12:D12"/>
    <mergeCell ref="I65:J65"/>
    <mergeCell ref="B67:D67"/>
    <mergeCell ref="B61:D61"/>
    <mergeCell ref="V9:X9"/>
    <mergeCell ref="N61:P61"/>
    <mergeCell ref="B77:M79"/>
    <mergeCell ref="U74:V74"/>
    <mergeCell ref="B71:I71"/>
    <mergeCell ref="W74:X74"/>
    <mergeCell ref="B83:H94"/>
    <mergeCell ref="B38:M38"/>
    <mergeCell ref="U76:V76"/>
    <mergeCell ref="N13:P13"/>
    <mergeCell ref="W76:X76"/>
    <mergeCell ref="J82:P82"/>
    <mergeCell ref="S66:T66"/>
    <mergeCell ref="J72:M72"/>
    <mergeCell ref="J12:L12"/>
    <mergeCell ref="U66:V66"/>
    <mergeCell ref="N5:R5"/>
    <mergeCell ref="W66:X66"/>
    <mergeCell ref="B64:D64"/>
    <mergeCell ref="U75:V75"/>
    <mergeCell ref="W75:X75"/>
    <mergeCell ref="B14:X14"/>
    <mergeCell ref="W62:X62"/>
    <mergeCell ref="B1:X1"/>
    <mergeCell ref="I67:J67"/>
    <mergeCell ref="K61:L61"/>
    <mergeCell ref="W61:X61"/>
    <mergeCell ref="B10:D11"/>
    <mergeCell ref="N63:P63"/>
    <mergeCell ref="N10:P11"/>
    <mergeCell ref="K62:L62"/>
  </mergeCells>
  <conditionalFormatting sqref="B13">
    <cfRule type="expression" priority="1" dxfId="15">
      <formula>Calc!$F$24=1</formula>
    </cfRule>
    <cfRule type="expression" priority="2" dxfId="16">
      <formula>Calc!$F$24=-1</formula>
    </cfRule>
  </conditionalFormatting>
  <conditionalFormatting sqref="F13">
    <cfRule type="expression" priority="3" dxfId="15">
      <formula>Calc!$F$25=1</formula>
    </cfRule>
    <cfRule type="expression" priority="4" dxfId="16">
      <formula>Calc!$F$25=-1</formula>
    </cfRule>
  </conditionalFormatting>
  <conditionalFormatting sqref="J13">
    <cfRule type="expression" priority="5" dxfId="15">
      <formula>Calc!$F$30=1</formula>
    </cfRule>
    <cfRule type="expression" priority="6" dxfId="16">
      <formula>Calc!$F$30=-1</formula>
    </cfRule>
  </conditionalFormatting>
  <conditionalFormatting sqref="N13">
    <cfRule type="expression" priority="7" dxfId="15">
      <formula>Calc!$F$31=1</formula>
    </cfRule>
    <cfRule type="expression" priority="8" dxfId="16">
      <formula>Calc!$F$31=-1</formula>
    </cfRule>
  </conditionalFormatting>
  <conditionalFormatting sqref="R13">
    <cfRule type="expression" priority="9" dxfId="15">
      <formula>Calc!$F$28=1</formula>
    </cfRule>
    <cfRule type="expression" priority="10" dxfId="16">
      <formula>Calc!$F$28=-1</formula>
    </cfRule>
  </conditionalFormatting>
  <conditionalFormatting sqref="V13">
    <cfRule type="expression" priority="11" dxfId="15">
      <formula>Calc!$F$29=1</formula>
    </cfRule>
    <cfRule type="expression" priority="12" dxfId="16">
      <formula>Calc!$F$29=-1</formula>
    </cfRule>
  </conditionalFormatting>
  <conditionalFormatting sqref="E62:L66">
    <cfRule type="colorScale" priority="13">
      <colorScale>
        <cfvo type="num" val="-0.1"/>
        <cfvo type="num" val="0"/>
        <cfvo type="num" val="0.3"/>
        <color rgb="00E8A39B"/>
        <color rgb="00FFFFFF"/>
        <color rgb="009CCB9F"/>
      </colorScale>
    </cfRule>
  </conditionalFormatting>
  <conditionalFormatting sqref="U62:V67">
    <cfRule type="colorScale" priority="14">
      <colorScale>
        <cfvo type="min"/>
        <cfvo type="max"/>
        <color rgb="00F2C9C4"/>
        <color rgb="00C5E3C7"/>
      </colorScale>
    </cfRule>
  </conditionalFormatting>
  <conditionalFormatting sqref="U72:V76">
    <cfRule type="colorScale" priority="15">
      <colorScale>
        <cfvo type="min"/>
        <cfvo type="max"/>
        <color rgb="00F2C9C4"/>
        <color rgb="00C5E3C7"/>
      </colorScale>
    </cfRule>
  </conditionalFormatting>
  <dataValidations count="4">
    <dataValidation sqref="B5" showDropDown="0" showInputMessage="0" showErrorMessage="0" allowBlank="0" type="list">
      <formula1>=Lists!$A$2:$A$4</formula1>
    </dataValidation>
    <dataValidation sqref="H5" showDropDown="0" showInputMessage="0" showErrorMessage="0" allowBlank="0" type="list">
      <formula1>=Lists!$B$2:$B$7</formula1>
    </dataValidation>
    <dataValidation sqref="N5" showDropDown="0" showInputMessage="0" showErrorMessage="0" allowBlank="0" type="list">
      <formula1>=Lists!$C$2:$C$7</formula1>
    </dataValidation>
    <dataValidation sqref="T5" showDropDown="0" showInputMessage="0" showErrorMessage="0" allowBlank="0" type="list">
      <formula1>=Lists!$D$2:$D$8</formula1>
    </dataValidation>
  </dataValidations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tabSelected="0" workbookViewId="0">
      <selection activeCell="A3" sqref="A3:W29"/>
    </sheetView>
  </sheetViews>
  <sheetFormatPr baseColWidth="8" defaultRowHeight="14.4"/>
  <cols>
    <col width="15" bestFit="1" customWidth="1" min="1" max="1"/>
    <col width="20.77734375" bestFit="1" customWidth="1" min="2" max="2"/>
    <col width="10.44140625" bestFit="1" customWidth="1" min="3" max="3"/>
    <col width="15.6640625" bestFit="1" customWidth="1" min="4" max="4"/>
    <col width="12.77734375" bestFit="1" customWidth="1" min="5" max="5"/>
    <col width="21" bestFit="1" customWidth="1" min="6" max="6"/>
    <col width="12.6640625" bestFit="1" customWidth="1" min="7" max="7"/>
    <col width="14" bestFit="1" customWidth="1" min="8" max="8"/>
    <col width="12.109375" bestFit="1" customWidth="1" min="9" max="9"/>
    <col width="9" bestFit="1" customWidth="1" min="10" max="12"/>
    <col width="9.33203125" bestFit="1" customWidth="1" min="13" max="13"/>
    <col width="16" bestFit="1" customWidth="1" min="14" max="14"/>
    <col width="14.77734375" bestFit="1" customWidth="1" min="15" max="15"/>
    <col width="9" bestFit="1" customWidth="1" min="16" max="16"/>
    <col width="18.44140625" bestFit="1" customWidth="1" min="17" max="17"/>
    <col width="14.109375" bestFit="1" customWidth="1" min="18" max="18"/>
    <col width="12.33203125" bestFit="1" customWidth="1" min="19" max="19"/>
    <col width="15.77734375" bestFit="1" customWidth="1" min="20" max="20"/>
    <col width="21.33203125" bestFit="1" customWidth="1" min="21" max="21"/>
    <col width="12" bestFit="1" customWidth="1" min="22" max="22"/>
    <col width="9.109375" bestFit="1" customWidth="1" min="23" max="23"/>
  </cols>
  <sheetData>
    <row r="1">
      <c r="A1" s="13" t="inlineStr">
        <is>
          <t>Details for Sum of  Profit  -  Product :  Paseo , Segment: Channel Partners</t>
        </is>
      </c>
    </row>
    <row r="3">
      <c r="A3" t="inlineStr">
        <is>
          <t>Segment</t>
        </is>
      </c>
      <c r="B3" t="inlineStr">
        <is>
          <t>Country</t>
        </is>
      </c>
      <c r="C3" t="inlineStr">
        <is>
          <t xml:space="preserve"> Product </t>
        </is>
      </c>
      <c r="D3" t="inlineStr">
        <is>
          <t>Discount_Band</t>
        </is>
      </c>
      <c r="E3" t="inlineStr">
        <is>
          <t xml:space="preserve"> Units_Sold </t>
        </is>
      </c>
      <c r="F3" t="inlineStr">
        <is>
          <t xml:space="preserve"> Manufacturing_Price </t>
        </is>
      </c>
      <c r="G3" t="inlineStr">
        <is>
          <t xml:space="preserve"> Sale_Price </t>
        </is>
      </c>
      <c r="H3" t="inlineStr">
        <is>
          <t xml:space="preserve"> Gross_Sales </t>
        </is>
      </c>
      <c r="I3" t="inlineStr">
        <is>
          <t xml:space="preserve"> Discounts </t>
        </is>
      </c>
      <c r="J3" t="inlineStr">
        <is>
          <t xml:space="preserve">  Sales </t>
        </is>
      </c>
      <c r="K3" t="inlineStr">
        <is>
          <t xml:space="preserve"> COGS </t>
        </is>
      </c>
      <c r="L3" t="inlineStr">
        <is>
          <t xml:space="preserve"> Profit </t>
        </is>
      </c>
      <c r="M3" t="inlineStr">
        <is>
          <t>Date</t>
        </is>
      </c>
      <c r="N3" t="inlineStr">
        <is>
          <t>Month_Number</t>
        </is>
      </c>
      <c r="O3" t="inlineStr">
        <is>
          <t xml:space="preserve"> Month_Name </t>
        </is>
      </c>
      <c r="P3" t="inlineStr">
        <is>
          <t>Year</t>
        </is>
      </c>
      <c r="Q3" t="inlineStr">
        <is>
          <t>is_fractional_units</t>
        </is>
      </c>
      <c r="R3" t="inlineStr">
        <is>
          <t>Profit_Margin</t>
        </is>
      </c>
      <c r="S3" t="inlineStr">
        <is>
          <t>Cogs_Ratio</t>
        </is>
      </c>
      <c r="T3" t="inlineStr">
        <is>
          <t>Discount_Ratio</t>
        </is>
      </c>
      <c r="U3" t="inlineStr">
        <is>
          <t>Average_selling_Price</t>
        </is>
      </c>
      <c r="V3" t="inlineStr">
        <is>
          <t>Unit_Profit</t>
        </is>
      </c>
      <c r="W3" t="inlineStr">
        <is>
          <t>Is_Loss</t>
        </is>
      </c>
    </row>
    <row r="4">
      <c r="A4" t="inlineStr">
        <is>
          <t>Channel Partners</t>
        </is>
      </c>
      <c r="B4" t="inlineStr">
        <is>
          <t>United States of America</t>
        </is>
      </c>
      <c r="C4" t="inlineStr">
        <is>
          <t xml:space="preserve"> Paseo </t>
        </is>
      </c>
      <c r="D4" t="inlineStr">
        <is>
          <t xml:space="preserve"> High </t>
        </is>
      </c>
      <c r="E4" t="n">
        <v>914</v>
      </c>
      <c r="F4" t="n">
        <v>10</v>
      </c>
      <c r="G4" t="n">
        <v>12</v>
      </c>
      <c r="H4" t="n">
        <v>10968</v>
      </c>
      <c r="I4" t="n">
        <v>1645.2</v>
      </c>
      <c r="J4" t="n">
        <v>9322.799999999999</v>
      </c>
      <c r="K4" t="n">
        <v>2742</v>
      </c>
      <c r="L4" t="n">
        <v>6580.8</v>
      </c>
      <c r="M4" s="1" t="n">
        <v>41651</v>
      </c>
      <c r="N4" t="n">
        <v>12</v>
      </c>
      <c r="O4" t="inlineStr">
        <is>
          <t xml:space="preserve"> December </t>
        </is>
      </c>
      <c r="P4" t="n">
        <v>2014</v>
      </c>
      <c r="Q4" t="n">
        <v>0</v>
      </c>
      <c r="R4" t="n">
        <v>0.7058823529411765</v>
      </c>
      <c r="S4" t="n">
        <v>0.2941176470588235</v>
      </c>
      <c r="T4" t="n">
        <v>0.1764705882352941</v>
      </c>
      <c r="U4" t="n">
        <v>10.2</v>
      </c>
      <c r="V4" t="n">
        <v>7.2</v>
      </c>
      <c r="W4" t="n">
        <v>0</v>
      </c>
    </row>
    <row r="5">
      <c r="A5" t="inlineStr">
        <is>
          <t>Channel Partners</t>
        </is>
      </c>
      <c r="B5" t="inlineStr">
        <is>
          <t>Canada</t>
        </is>
      </c>
      <c r="C5" t="inlineStr">
        <is>
          <t xml:space="preserve"> Paseo </t>
        </is>
      </c>
      <c r="D5" t="inlineStr">
        <is>
          <t xml:space="preserve"> High </t>
        </is>
      </c>
      <c r="E5" t="n">
        <v>2222</v>
      </c>
      <c r="F5" t="n">
        <v>10</v>
      </c>
      <c r="G5" t="n">
        <v>12</v>
      </c>
      <c r="H5" t="n">
        <v>26664</v>
      </c>
      <c r="I5" t="n">
        <v>3732.96</v>
      </c>
      <c r="J5" t="n">
        <v>22931.04</v>
      </c>
      <c r="K5" t="n">
        <v>6666</v>
      </c>
      <c r="L5" t="n">
        <v>16265.04</v>
      </c>
      <c r="M5" s="1" t="n">
        <v>41285</v>
      </c>
      <c r="N5" t="n">
        <v>11</v>
      </c>
      <c r="O5" t="inlineStr">
        <is>
          <t xml:space="preserve"> November </t>
        </is>
      </c>
      <c r="P5" t="n">
        <v>2013</v>
      </c>
      <c r="Q5" t="n">
        <v>0</v>
      </c>
      <c r="R5" t="n">
        <v>0.7093023255813954</v>
      </c>
      <c r="S5" t="n">
        <v>0.2906976744186046</v>
      </c>
      <c r="T5" t="n">
        <v>0.1627906976744186</v>
      </c>
      <c r="U5" t="n">
        <v>10.32</v>
      </c>
      <c r="V5" t="n">
        <v>7.32</v>
      </c>
      <c r="W5" t="n">
        <v>0</v>
      </c>
    </row>
    <row r="6">
      <c r="A6" t="inlineStr">
        <is>
          <t>Channel Partners</t>
        </is>
      </c>
      <c r="B6" t="inlineStr">
        <is>
          <t>United States of America</t>
        </is>
      </c>
      <c r="C6" t="inlineStr">
        <is>
          <t xml:space="preserve"> Paseo </t>
        </is>
      </c>
      <c r="D6" t="inlineStr">
        <is>
          <t xml:space="preserve"> High </t>
        </is>
      </c>
      <c r="E6" t="n">
        <v>2914</v>
      </c>
      <c r="F6" t="n">
        <v>10</v>
      </c>
      <c r="G6" t="n">
        <v>12</v>
      </c>
      <c r="H6" t="n">
        <v>34968</v>
      </c>
      <c r="I6" t="n">
        <v>4895.52</v>
      </c>
      <c r="J6" t="n">
        <v>30072.48</v>
      </c>
      <c r="K6" t="n">
        <v>8742</v>
      </c>
      <c r="L6" t="n">
        <v>21330.48</v>
      </c>
      <c r="M6" s="1" t="n">
        <v>41649</v>
      </c>
      <c r="N6" t="n">
        <v>10</v>
      </c>
      <c r="O6" t="inlineStr">
        <is>
          <t xml:space="preserve"> October </t>
        </is>
      </c>
      <c r="P6" t="n">
        <v>2014</v>
      </c>
      <c r="Q6" t="n">
        <v>0</v>
      </c>
      <c r="R6" t="n">
        <v>0.7093023255813954</v>
      </c>
      <c r="S6" t="n">
        <v>0.2906976744186047</v>
      </c>
      <c r="T6" t="n">
        <v>0.1627906976744186</v>
      </c>
      <c r="U6" t="n">
        <v>10.32</v>
      </c>
      <c r="V6" t="n">
        <v>7.32</v>
      </c>
      <c r="W6" t="n">
        <v>0</v>
      </c>
    </row>
    <row r="7">
      <c r="A7" t="inlineStr">
        <is>
          <t>Channel Partners</t>
        </is>
      </c>
      <c r="B7" t="inlineStr">
        <is>
          <t>France</t>
        </is>
      </c>
      <c r="C7" t="inlineStr">
        <is>
          <t xml:space="preserve"> Paseo </t>
        </is>
      </c>
      <c r="D7" t="inlineStr">
        <is>
          <t xml:space="preserve"> High </t>
        </is>
      </c>
      <c r="E7" t="n">
        <v>1393</v>
      </c>
      <c r="F7" t="n">
        <v>10</v>
      </c>
      <c r="G7" t="n">
        <v>12</v>
      </c>
      <c r="H7" t="n">
        <v>16716</v>
      </c>
      <c r="I7" t="n">
        <v>2340.24</v>
      </c>
      <c r="J7" t="n">
        <v>14375.76</v>
      </c>
      <c r="K7" t="n">
        <v>4179</v>
      </c>
      <c r="L7" t="n">
        <v>10196.76</v>
      </c>
      <c r="M7" s="1" t="n">
        <v>41649</v>
      </c>
      <c r="N7" t="n">
        <v>10</v>
      </c>
      <c r="O7" t="inlineStr">
        <is>
          <t xml:space="preserve"> October </t>
        </is>
      </c>
      <c r="P7" t="n">
        <v>2014</v>
      </c>
      <c r="Q7" t="n">
        <v>0</v>
      </c>
      <c r="R7" t="n">
        <v>0.7093023255813954</v>
      </c>
      <c r="S7" t="n">
        <v>0.2906976744186047</v>
      </c>
      <c r="T7" t="n">
        <v>0.1627906976744186</v>
      </c>
      <c r="U7" t="n">
        <v>10.32</v>
      </c>
      <c r="V7" t="n">
        <v>7.32</v>
      </c>
      <c r="W7" t="n">
        <v>0</v>
      </c>
    </row>
    <row r="8">
      <c r="A8" t="inlineStr">
        <is>
          <t>Channel Partners</t>
        </is>
      </c>
      <c r="B8" t="inlineStr">
        <is>
          <t>Germany</t>
        </is>
      </c>
      <c r="C8" t="inlineStr">
        <is>
          <t xml:space="preserve"> Paseo </t>
        </is>
      </c>
      <c r="D8" t="inlineStr">
        <is>
          <t xml:space="preserve"> High </t>
        </is>
      </c>
      <c r="E8" t="n">
        <v>1013</v>
      </c>
      <c r="F8" t="n">
        <v>10</v>
      </c>
      <c r="G8" t="n">
        <v>12</v>
      </c>
      <c r="H8" t="n">
        <v>12156</v>
      </c>
      <c r="I8" t="n">
        <v>1580.28</v>
      </c>
      <c r="J8" t="n">
        <v>10575.72</v>
      </c>
      <c r="K8" t="n">
        <v>3039</v>
      </c>
      <c r="L8" t="n">
        <v>7536.72</v>
      </c>
      <c r="M8" s="1" t="n">
        <v>41651</v>
      </c>
      <c r="N8" t="n">
        <v>12</v>
      </c>
      <c r="O8" t="inlineStr">
        <is>
          <t xml:space="preserve"> December </t>
        </is>
      </c>
      <c r="P8" t="n">
        <v>2014</v>
      </c>
      <c r="Q8" t="n">
        <v>0</v>
      </c>
      <c r="R8" t="n">
        <v>0.7126436781609196</v>
      </c>
      <c r="S8" t="n">
        <v>0.2873563218390805</v>
      </c>
      <c r="T8" t="n">
        <v>0.1494252873563219</v>
      </c>
      <c r="U8" t="n">
        <v>10.44</v>
      </c>
      <c r="V8" t="n">
        <v>7.44</v>
      </c>
      <c r="W8" t="n">
        <v>0</v>
      </c>
    </row>
    <row r="9">
      <c r="A9" t="inlineStr">
        <is>
          <t>Channel Partners</t>
        </is>
      </c>
      <c r="B9" t="inlineStr">
        <is>
          <t>Mexico</t>
        </is>
      </c>
      <c r="C9" t="inlineStr">
        <is>
          <t xml:space="preserve"> Paseo </t>
        </is>
      </c>
      <c r="D9" t="inlineStr">
        <is>
          <t xml:space="preserve"> High </t>
        </is>
      </c>
      <c r="E9" t="n">
        <v>571</v>
      </c>
      <c r="F9" t="n">
        <v>10</v>
      </c>
      <c r="G9" t="n">
        <v>12</v>
      </c>
      <c r="H9" t="n">
        <v>6852</v>
      </c>
      <c r="I9" t="n">
        <v>890.76</v>
      </c>
      <c r="J9" t="n">
        <v>5961.24</v>
      </c>
      <c r="K9" t="n">
        <v>1713</v>
      </c>
      <c r="L9" t="n">
        <v>4248.24</v>
      </c>
      <c r="M9" s="1" t="n">
        <v>41646</v>
      </c>
      <c r="N9" t="n">
        <v>7</v>
      </c>
      <c r="O9" t="inlineStr">
        <is>
          <t xml:space="preserve"> July </t>
        </is>
      </c>
      <c r="P9" t="n">
        <v>2014</v>
      </c>
      <c r="Q9" t="n">
        <v>0</v>
      </c>
      <c r="R9" t="n">
        <v>0.7126436781609196</v>
      </c>
      <c r="S9" t="n">
        <v>0.2873563218390805</v>
      </c>
      <c r="T9" t="n">
        <v>0.1494252873563219</v>
      </c>
      <c r="U9" t="n">
        <v>10.44</v>
      </c>
      <c r="V9" t="n">
        <v>7.44</v>
      </c>
      <c r="W9" t="n">
        <v>0</v>
      </c>
    </row>
    <row r="10">
      <c r="A10" t="inlineStr">
        <is>
          <t>Channel Partners</t>
        </is>
      </c>
      <c r="B10" t="inlineStr">
        <is>
          <t>France</t>
        </is>
      </c>
      <c r="C10" t="inlineStr">
        <is>
          <t xml:space="preserve"> Paseo </t>
        </is>
      </c>
      <c r="D10" t="inlineStr">
        <is>
          <t xml:space="preserve"> High </t>
        </is>
      </c>
      <c r="E10" t="n">
        <v>2425.5</v>
      </c>
      <c r="F10" t="n">
        <v>10</v>
      </c>
      <c r="G10" t="n">
        <v>12</v>
      </c>
      <c r="H10" t="n">
        <v>29106</v>
      </c>
      <c r="I10" t="n">
        <v>3201.66</v>
      </c>
      <c r="J10" t="n">
        <v>25904.34</v>
      </c>
      <c r="K10" t="n">
        <v>7276.5</v>
      </c>
      <c r="L10" t="n">
        <v>18627.84</v>
      </c>
      <c r="M10" s="1" t="n">
        <v>41646</v>
      </c>
      <c r="N10" t="n">
        <v>7</v>
      </c>
      <c r="O10" t="inlineStr">
        <is>
          <t xml:space="preserve"> July </t>
        </is>
      </c>
      <c r="P10" t="n">
        <v>2014</v>
      </c>
      <c r="Q10" t="n">
        <v>1</v>
      </c>
      <c r="R10" t="n">
        <v>0.7191011235955056</v>
      </c>
      <c r="S10" t="n">
        <v>0.2808988764044944</v>
      </c>
      <c r="T10" t="n">
        <v>0.1235955056179775</v>
      </c>
      <c r="U10" t="n">
        <v>10.68</v>
      </c>
      <c r="V10" t="n">
        <v>7.68</v>
      </c>
      <c r="W10" t="n">
        <v>0</v>
      </c>
    </row>
    <row r="11">
      <c r="A11" t="inlineStr">
        <is>
          <t>Channel Partners</t>
        </is>
      </c>
      <c r="B11" t="inlineStr">
        <is>
          <t>Canada</t>
        </is>
      </c>
      <c r="C11" t="inlineStr">
        <is>
          <t xml:space="preserve"> Paseo </t>
        </is>
      </c>
      <c r="D11" t="inlineStr">
        <is>
          <t xml:space="preserve"> High </t>
        </is>
      </c>
      <c r="E11" t="n">
        <v>4026</v>
      </c>
      <c r="F11" t="n">
        <v>10</v>
      </c>
      <c r="G11" t="n">
        <v>12</v>
      </c>
      <c r="H11" t="n">
        <v>48312</v>
      </c>
      <c r="I11" t="n">
        <v>5314.32</v>
      </c>
      <c r="J11" t="n">
        <v>42997.68</v>
      </c>
      <c r="K11" t="n">
        <v>12078</v>
      </c>
      <c r="L11" t="n">
        <v>30919.68</v>
      </c>
      <c r="M11" s="1" t="n">
        <v>41646</v>
      </c>
      <c r="N11" t="n">
        <v>7</v>
      </c>
      <c r="O11" t="inlineStr">
        <is>
          <t xml:space="preserve"> July </t>
        </is>
      </c>
      <c r="P11" t="n">
        <v>2014</v>
      </c>
      <c r="Q11" t="n">
        <v>0</v>
      </c>
      <c r="R11" t="n">
        <v>0.7191011235955056</v>
      </c>
      <c r="S11" t="n">
        <v>0.2808988764044944</v>
      </c>
      <c r="T11" t="n">
        <v>0.1235955056179775</v>
      </c>
      <c r="U11" t="n">
        <v>10.68</v>
      </c>
      <c r="V11" t="n">
        <v>7.68</v>
      </c>
      <c r="W11" t="n">
        <v>0</v>
      </c>
    </row>
    <row r="12">
      <c r="A12" t="inlineStr">
        <is>
          <t>Channel Partners</t>
        </is>
      </c>
      <c r="B12" t="inlineStr">
        <is>
          <t>France</t>
        </is>
      </c>
      <c r="C12" t="inlineStr">
        <is>
          <t xml:space="preserve"> Paseo </t>
        </is>
      </c>
      <c r="D12" t="inlineStr">
        <is>
          <t xml:space="preserve"> High </t>
        </is>
      </c>
      <c r="E12" t="n">
        <v>1198</v>
      </c>
      <c r="F12" t="n">
        <v>10</v>
      </c>
      <c r="G12" t="n">
        <v>12</v>
      </c>
      <c r="H12" t="n">
        <v>14376</v>
      </c>
      <c r="I12" t="n">
        <v>1581.36</v>
      </c>
      <c r="J12" t="n">
        <v>12794.64</v>
      </c>
      <c r="K12" t="n">
        <v>3594</v>
      </c>
      <c r="L12" t="n">
        <v>9200.639999999999</v>
      </c>
      <c r="M12" s="1" t="n">
        <v>41284</v>
      </c>
      <c r="N12" t="n">
        <v>10</v>
      </c>
      <c r="O12" t="inlineStr">
        <is>
          <t xml:space="preserve"> October </t>
        </is>
      </c>
      <c r="P12" t="n">
        <v>2013</v>
      </c>
      <c r="Q12" t="n">
        <v>0</v>
      </c>
      <c r="R12" t="n">
        <v>0.7191011235955056</v>
      </c>
      <c r="S12" t="n">
        <v>0.2808988764044944</v>
      </c>
      <c r="T12" t="n">
        <v>0.1235955056179775</v>
      </c>
      <c r="U12" t="n">
        <v>10.68</v>
      </c>
      <c r="V12" t="n">
        <v>7.68</v>
      </c>
      <c r="W12" t="n">
        <v>0</v>
      </c>
    </row>
    <row r="13">
      <c r="A13" t="inlineStr">
        <is>
          <t>Channel Partners</t>
        </is>
      </c>
      <c r="B13" t="inlineStr">
        <is>
          <t>United States of America</t>
        </is>
      </c>
      <c r="C13" t="inlineStr">
        <is>
          <t xml:space="preserve"> Paseo </t>
        </is>
      </c>
      <c r="D13" t="inlineStr">
        <is>
          <t xml:space="preserve"> High </t>
        </is>
      </c>
      <c r="E13" t="n">
        <v>386</v>
      </c>
      <c r="F13" t="n">
        <v>10</v>
      </c>
      <c r="G13" t="n">
        <v>12</v>
      </c>
      <c r="H13" t="n">
        <v>4632</v>
      </c>
      <c r="I13" t="n">
        <v>463.2</v>
      </c>
      <c r="J13" t="n">
        <v>4168.8</v>
      </c>
      <c r="K13" t="n">
        <v>1158</v>
      </c>
      <c r="L13" t="n">
        <v>3010.8</v>
      </c>
      <c r="M13" s="1" t="n">
        <v>41284</v>
      </c>
      <c r="N13" t="n">
        <v>10</v>
      </c>
      <c r="O13" t="inlineStr">
        <is>
          <t xml:space="preserve"> October </t>
        </is>
      </c>
      <c r="P13" t="n">
        <v>2013</v>
      </c>
      <c r="Q13" t="n">
        <v>0</v>
      </c>
      <c r="R13" t="n">
        <v>0.7222222222222222</v>
      </c>
      <c r="S13" t="n">
        <v>0.2777777777777778</v>
      </c>
      <c r="T13" t="n">
        <v>0.1111111111111111</v>
      </c>
      <c r="U13" t="n">
        <v>10.8</v>
      </c>
      <c r="V13" t="n">
        <v>7.800000000000001</v>
      </c>
      <c r="W13" t="n">
        <v>0</v>
      </c>
    </row>
    <row r="14">
      <c r="A14" t="inlineStr">
        <is>
          <t>Channel Partners</t>
        </is>
      </c>
      <c r="B14" t="inlineStr">
        <is>
          <t>Germany</t>
        </is>
      </c>
      <c r="C14" t="inlineStr">
        <is>
          <t xml:space="preserve"> Paseo </t>
        </is>
      </c>
      <c r="D14" t="inlineStr">
        <is>
          <t xml:space="preserve"> Medium </t>
        </is>
      </c>
      <c r="E14" t="n">
        <v>1775</v>
      </c>
      <c r="F14" t="n">
        <v>10</v>
      </c>
      <c r="G14" t="n">
        <v>12</v>
      </c>
      <c r="H14" t="n">
        <v>21300</v>
      </c>
      <c r="I14" t="n">
        <v>1917</v>
      </c>
      <c r="J14" t="n">
        <v>19383</v>
      </c>
      <c r="K14" t="n">
        <v>5325</v>
      </c>
      <c r="L14" t="n">
        <v>14058</v>
      </c>
      <c r="M14" s="1" t="n">
        <v>41285</v>
      </c>
      <c r="N14" t="n">
        <v>11</v>
      </c>
      <c r="O14" t="inlineStr">
        <is>
          <t xml:space="preserve"> November </t>
        </is>
      </c>
      <c r="P14" t="n">
        <v>2013</v>
      </c>
      <c r="Q14" t="n">
        <v>0</v>
      </c>
      <c r="R14" t="n">
        <v>0.7252747252747253</v>
      </c>
      <c r="S14" t="n">
        <v>0.2747252747252747</v>
      </c>
      <c r="T14" t="n">
        <v>0.0989010989010989</v>
      </c>
      <c r="U14" t="n">
        <v>10.92</v>
      </c>
      <c r="V14" t="n">
        <v>7.92</v>
      </c>
      <c r="W14" t="n">
        <v>0</v>
      </c>
    </row>
    <row r="15">
      <c r="A15" t="inlineStr">
        <is>
          <t>Channel Partners</t>
        </is>
      </c>
      <c r="B15" t="inlineStr">
        <is>
          <t>Mexico</t>
        </is>
      </c>
      <c r="C15" t="inlineStr">
        <is>
          <t xml:space="preserve"> Paseo </t>
        </is>
      </c>
      <c r="D15" t="inlineStr">
        <is>
          <t xml:space="preserve"> Medium </t>
        </is>
      </c>
      <c r="E15" t="n">
        <v>367</v>
      </c>
      <c r="F15" t="n">
        <v>10</v>
      </c>
      <c r="G15" t="n">
        <v>12</v>
      </c>
      <c r="H15" t="n">
        <v>4404</v>
      </c>
      <c r="I15" t="n">
        <v>396.36</v>
      </c>
      <c r="J15" t="n">
        <v>4007.64</v>
      </c>
      <c r="K15" t="n">
        <v>1101</v>
      </c>
      <c r="L15" t="n">
        <v>2906.64</v>
      </c>
      <c r="M15" s="1" t="n">
        <v>41284</v>
      </c>
      <c r="N15" t="n">
        <v>10</v>
      </c>
      <c r="O15" t="inlineStr">
        <is>
          <t xml:space="preserve"> October </t>
        </is>
      </c>
      <c r="P15" t="n">
        <v>2013</v>
      </c>
      <c r="Q15" t="n">
        <v>0</v>
      </c>
      <c r="R15" t="n">
        <v>0.7252747252747253</v>
      </c>
      <c r="S15" t="n">
        <v>0.2747252747252747</v>
      </c>
      <c r="T15" t="n">
        <v>0.09890109890109891</v>
      </c>
      <c r="U15" t="n">
        <v>10.92</v>
      </c>
      <c r="V15" t="n">
        <v>7.92</v>
      </c>
      <c r="W15" t="n">
        <v>0</v>
      </c>
    </row>
    <row r="16">
      <c r="A16" t="inlineStr">
        <is>
          <t>Channel Partners</t>
        </is>
      </c>
      <c r="B16" t="inlineStr">
        <is>
          <t>Mexico</t>
        </is>
      </c>
      <c r="C16" t="inlineStr">
        <is>
          <t xml:space="preserve"> Paseo </t>
        </is>
      </c>
      <c r="D16" t="inlineStr">
        <is>
          <t xml:space="preserve"> Medium </t>
        </is>
      </c>
      <c r="E16" t="n">
        <v>2763</v>
      </c>
      <c r="F16" t="n">
        <v>10</v>
      </c>
      <c r="G16" t="n">
        <v>12</v>
      </c>
      <c r="H16" t="n">
        <v>33156</v>
      </c>
      <c r="I16" t="n">
        <v>2320.92</v>
      </c>
      <c r="J16" t="n">
        <v>30835.08</v>
      </c>
      <c r="K16" t="n">
        <v>8289</v>
      </c>
      <c r="L16" t="n">
        <v>22546.08</v>
      </c>
      <c r="M16" s="1" t="n">
        <v>41285</v>
      </c>
      <c r="N16" t="n">
        <v>11</v>
      </c>
      <c r="O16" t="inlineStr">
        <is>
          <t xml:space="preserve"> November </t>
        </is>
      </c>
      <c r="P16" t="n">
        <v>2013</v>
      </c>
      <c r="Q16" t="n">
        <v>0</v>
      </c>
      <c r="R16" t="n">
        <v>0.7311827956989247</v>
      </c>
      <c r="S16" t="n">
        <v>0.2688172043010753</v>
      </c>
      <c r="T16" t="n">
        <v>0.07526881720430108</v>
      </c>
      <c r="U16" t="n">
        <v>11.16</v>
      </c>
      <c r="V16" t="n">
        <v>8.16</v>
      </c>
      <c r="W16" t="n">
        <v>0</v>
      </c>
    </row>
    <row r="17">
      <c r="A17" t="inlineStr">
        <is>
          <t>Channel Partners</t>
        </is>
      </c>
      <c r="B17" t="inlineStr">
        <is>
          <t>Canada</t>
        </is>
      </c>
      <c r="C17" t="inlineStr">
        <is>
          <t xml:space="preserve"> Paseo </t>
        </is>
      </c>
      <c r="D17" t="inlineStr">
        <is>
          <t xml:space="preserve"> Medium </t>
        </is>
      </c>
      <c r="E17" t="n">
        <v>2299</v>
      </c>
      <c r="F17" t="n">
        <v>10</v>
      </c>
      <c r="G17" t="n">
        <v>12</v>
      </c>
      <c r="H17" t="n">
        <v>27588</v>
      </c>
      <c r="I17" t="n">
        <v>1655.28</v>
      </c>
      <c r="J17" t="n">
        <v>25932.72</v>
      </c>
      <c r="K17" t="n">
        <v>6897</v>
      </c>
      <c r="L17" t="n">
        <v>19035.72</v>
      </c>
      <c r="M17" s="1" t="n">
        <v>41284</v>
      </c>
      <c r="N17" t="n">
        <v>10</v>
      </c>
      <c r="O17" t="inlineStr">
        <is>
          <t xml:space="preserve"> October </t>
        </is>
      </c>
      <c r="P17" t="n">
        <v>2013</v>
      </c>
      <c r="Q17" t="n">
        <v>0</v>
      </c>
      <c r="R17" t="n">
        <v>0.7340425531914894</v>
      </c>
      <c r="S17" t="n">
        <v>0.2659574468085106</v>
      </c>
      <c r="T17" t="n">
        <v>0.06382978723404255</v>
      </c>
      <c r="U17" t="n">
        <v>11.28</v>
      </c>
      <c r="V17" t="n">
        <v>8.280000000000001</v>
      </c>
      <c r="W17" t="n">
        <v>0</v>
      </c>
    </row>
    <row r="18">
      <c r="A18" t="inlineStr">
        <is>
          <t>Channel Partners</t>
        </is>
      </c>
      <c r="B18" t="inlineStr">
        <is>
          <t>Canada</t>
        </is>
      </c>
      <c r="C18" t="inlineStr">
        <is>
          <t xml:space="preserve"> Paseo </t>
        </is>
      </c>
      <c r="D18" t="inlineStr">
        <is>
          <t xml:space="preserve"> Medium </t>
        </is>
      </c>
      <c r="E18" t="n">
        <v>2431</v>
      </c>
      <c r="F18" t="n">
        <v>10</v>
      </c>
      <c r="G18" t="n">
        <v>12</v>
      </c>
      <c r="H18" t="n">
        <v>29172</v>
      </c>
      <c r="I18" t="n">
        <v>1458.6</v>
      </c>
      <c r="J18" t="n">
        <v>27713.4</v>
      </c>
      <c r="K18" t="n">
        <v>7293</v>
      </c>
      <c r="L18" t="n">
        <v>20420.4</v>
      </c>
      <c r="M18" s="1" t="n">
        <v>41651</v>
      </c>
      <c r="N18" t="n">
        <v>12</v>
      </c>
      <c r="O18" t="inlineStr">
        <is>
          <t xml:space="preserve"> December </t>
        </is>
      </c>
      <c r="P18" t="n">
        <v>2014</v>
      </c>
      <c r="Q18" t="n">
        <v>0</v>
      </c>
      <c r="R18" t="n">
        <v>0.7368421052631579</v>
      </c>
      <c r="S18" t="n">
        <v>0.2631578947368421</v>
      </c>
      <c r="T18" t="n">
        <v>0.05263157894736842</v>
      </c>
      <c r="U18" t="n">
        <v>11.4</v>
      </c>
      <c r="V18" t="n">
        <v>8.4</v>
      </c>
      <c r="W18" t="n">
        <v>0</v>
      </c>
    </row>
    <row r="19">
      <c r="A19" t="inlineStr">
        <is>
          <t>Channel Partners</t>
        </is>
      </c>
      <c r="B19" t="inlineStr">
        <is>
          <t>United States of America</t>
        </is>
      </c>
      <c r="C19" t="inlineStr">
        <is>
          <t xml:space="preserve"> Paseo </t>
        </is>
      </c>
      <c r="D19" t="inlineStr">
        <is>
          <t xml:space="preserve"> Low </t>
        </is>
      </c>
      <c r="E19" t="n">
        <v>1369.5</v>
      </c>
      <c r="F19" t="n">
        <v>10</v>
      </c>
      <c r="G19" t="n">
        <v>12</v>
      </c>
      <c r="H19" t="n">
        <v>16434</v>
      </c>
      <c r="I19" t="n">
        <v>493.02</v>
      </c>
      <c r="J19" t="n">
        <v>15940.98</v>
      </c>
      <c r="K19" t="n">
        <v>4108.5</v>
      </c>
      <c r="L19" t="n">
        <v>11832.48</v>
      </c>
      <c r="M19" s="1" t="n">
        <v>41646</v>
      </c>
      <c r="N19" t="n">
        <v>7</v>
      </c>
      <c r="O19" t="inlineStr">
        <is>
          <t xml:space="preserve"> July </t>
        </is>
      </c>
      <c r="P19" t="n">
        <v>2014</v>
      </c>
      <c r="Q19" t="n">
        <v>1</v>
      </c>
      <c r="R19" t="n">
        <v>0.7422680412371134</v>
      </c>
      <c r="S19" t="n">
        <v>0.2577319587628866</v>
      </c>
      <c r="T19" t="n">
        <v>0.03092783505154639</v>
      </c>
      <c r="U19" t="n">
        <v>11.64</v>
      </c>
      <c r="V19" t="n">
        <v>8.640000000000001</v>
      </c>
      <c r="W19" t="n">
        <v>0</v>
      </c>
    </row>
    <row r="20">
      <c r="A20" t="inlineStr">
        <is>
          <t>Channel Partners</t>
        </is>
      </c>
      <c r="B20" t="inlineStr">
        <is>
          <t>France</t>
        </is>
      </c>
      <c r="C20" t="inlineStr">
        <is>
          <t xml:space="preserve"> Paseo </t>
        </is>
      </c>
      <c r="D20" t="inlineStr">
        <is>
          <t xml:space="preserve"> Low </t>
        </is>
      </c>
      <c r="E20" t="n">
        <v>1901</v>
      </c>
      <c r="F20" t="n">
        <v>10</v>
      </c>
      <c r="G20" t="n">
        <v>12</v>
      </c>
      <c r="H20" t="n">
        <v>22812</v>
      </c>
      <c r="I20" t="n">
        <v>684.36</v>
      </c>
      <c r="J20" t="n">
        <v>22127.64</v>
      </c>
      <c r="K20" t="n">
        <v>5703</v>
      </c>
      <c r="L20" t="n">
        <v>16424.64</v>
      </c>
      <c r="M20" s="1" t="n">
        <v>41645</v>
      </c>
      <c r="N20" t="n">
        <v>6</v>
      </c>
      <c r="O20" t="inlineStr">
        <is>
          <t xml:space="preserve"> June </t>
        </is>
      </c>
      <c r="P20" t="n">
        <v>2014</v>
      </c>
      <c r="Q20" t="n">
        <v>0</v>
      </c>
      <c r="R20" t="n">
        <v>0.7422680412371134</v>
      </c>
      <c r="S20" t="n">
        <v>0.2577319587628866</v>
      </c>
      <c r="T20" t="n">
        <v>0.03092783505154639</v>
      </c>
      <c r="U20" t="n">
        <v>11.64</v>
      </c>
      <c r="V20" t="n">
        <v>8.640000000000001</v>
      </c>
      <c r="W20" t="n">
        <v>0</v>
      </c>
    </row>
    <row r="21">
      <c r="A21" t="inlineStr">
        <is>
          <t>Channel Partners</t>
        </is>
      </c>
      <c r="B21" t="inlineStr">
        <is>
          <t>Mexico</t>
        </is>
      </c>
      <c r="C21" t="inlineStr">
        <is>
          <t xml:space="preserve"> Paseo </t>
        </is>
      </c>
      <c r="D21" t="inlineStr">
        <is>
          <t xml:space="preserve"> Low </t>
        </is>
      </c>
      <c r="E21" t="n">
        <v>1084</v>
      </c>
      <c r="F21" t="n">
        <v>10</v>
      </c>
      <c r="G21" t="n">
        <v>12</v>
      </c>
      <c r="H21" t="n">
        <v>13008</v>
      </c>
      <c r="I21" t="n">
        <v>260.16</v>
      </c>
      <c r="J21" t="n">
        <v>12747.84</v>
      </c>
      <c r="K21" t="n">
        <v>3252</v>
      </c>
      <c r="L21" t="n">
        <v>9495.84</v>
      </c>
      <c r="M21" s="1" t="n">
        <v>41651</v>
      </c>
      <c r="N21" t="n">
        <v>12</v>
      </c>
      <c r="O21" t="inlineStr">
        <is>
          <t xml:space="preserve"> December </t>
        </is>
      </c>
      <c r="P21" t="n">
        <v>2014</v>
      </c>
      <c r="Q21" t="n">
        <v>0</v>
      </c>
      <c r="R21" t="n">
        <v>0.7448979591836735</v>
      </c>
      <c r="S21" t="n">
        <v>0.2551020408163265</v>
      </c>
      <c r="T21" t="n">
        <v>0.02040816326530612</v>
      </c>
      <c r="U21" t="n">
        <v>11.76</v>
      </c>
      <c r="V21" t="n">
        <v>8.76</v>
      </c>
      <c r="W21" t="n">
        <v>0</v>
      </c>
    </row>
    <row r="22">
      <c r="A22" t="inlineStr">
        <is>
          <t>Channel Partners</t>
        </is>
      </c>
      <c r="B22" t="inlineStr">
        <is>
          <t>Canada</t>
        </is>
      </c>
      <c r="C22" t="inlineStr">
        <is>
          <t xml:space="preserve"> Paseo </t>
        </is>
      </c>
      <c r="D22" t="inlineStr">
        <is>
          <t xml:space="preserve"> None </t>
        </is>
      </c>
      <c r="E22" t="n">
        <v>2518</v>
      </c>
      <c r="F22" t="n">
        <v>10</v>
      </c>
      <c r="G22" t="n">
        <v>12</v>
      </c>
      <c r="H22" t="n">
        <v>30216</v>
      </c>
      <c r="I22" t="n">
        <v>0</v>
      </c>
      <c r="J22" t="n">
        <v>30216</v>
      </c>
      <c r="K22" t="n">
        <v>7554</v>
      </c>
      <c r="L22" t="n">
        <v>22662</v>
      </c>
      <c r="M22" s="1" t="n">
        <v>41645</v>
      </c>
      <c r="N22" t="n">
        <v>6</v>
      </c>
      <c r="O22" t="inlineStr">
        <is>
          <t xml:space="preserve"> June </t>
        </is>
      </c>
      <c r="P22" t="n">
        <v>2014</v>
      </c>
      <c r="Q22" t="n">
        <v>0</v>
      </c>
      <c r="R22" t="n">
        <v>0.75</v>
      </c>
      <c r="S22" t="n">
        <v>0.25</v>
      </c>
      <c r="T22" t="n">
        <v>0</v>
      </c>
      <c r="U22" t="n">
        <v>12</v>
      </c>
      <c r="V22" t="n">
        <v>9</v>
      </c>
      <c r="W22" t="n">
        <v>0</v>
      </c>
    </row>
    <row r="23">
      <c r="A23" t="inlineStr">
        <is>
          <t>Channel Partners</t>
        </is>
      </c>
      <c r="B23" t="inlineStr">
        <is>
          <t>France</t>
        </is>
      </c>
      <c r="C23" t="inlineStr">
        <is>
          <t xml:space="preserve"> Paseo </t>
        </is>
      </c>
      <c r="D23" t="inlineStr">
        <is>
          <t xml:space="preserve"> Low </t>
        </is>
      </c>
      <c r="E23" t="n">
        <v>1055</v>
      </c>
      <c r="F23" t="n">
        <v>10</v>
      </c>
      <c r="G23" t="n">
        <v>12</v>
      </c>
      <c r="H23" t="n">
        <v>12660</v>
      </c>
      <c r="I23" t="n">
        <v>253.2</v>
      </c>
      <c r="J23" t="n">
        <v>12406.8</v>
      </c>
      <c r="K23" t="n">
        <v>3165</v>
      </c>
      <c r="L23" t="n">
        <v>9241.799999999999</v>
      </c>
      <c r="M23" s="1" t="n">
        <v>41651</v>
      </c>
      <c r="N23" t="n">
        <v>12</v>
      </c>
      <c r="O23" t="inlineStr">
        <is>
          <t xml:space="preserve"> December </t>
        </is>
      </c>
      <c r="P23" t="n">
        <v>2014</v>
      </c>
      <c r="Q23" t="n">
        <v>0</v>
      </c>
      <c r="R23" t="n">
        <v>0.7448979591836734</v>
      </c>
      <c r="S23" t="n">
        <v>0.2551020408163265</v>
      </c>
      <c r="T23" t="n">
        <v>0.02040816326530612</v>
      </c>
      <c r="U23" t="n">
        <v>11.76</v>
      </c>
      <c r="V23" t="n">
        <v>8.76</v>
      </c>
      <c r="W23" t="n">
        <v>0</v>
      </c>
    </row>
    <row r="24">
      <c r="A24" t="inlineStr">
        <is>
          <t>Channel Partners</t>
        </is>
      </c>
      <c r="B24" t="inlineStr">
        <is>
          <t>Germany</t>
        </is>
      </c>
      <c r="C24" t="inlineStr">
        <is>
          <t xml:space="preserve"> Paseo </t>
        </is>
      </c>
      <c r="D24" t="inlineStr">
        <is>
          <t xml:space="preserve"> None </t>
        </is>
      </c>
      <c r="E24" t="n">
        <v>367</v>
      </c>
      <c r="F24" t="n">
        <v>10</v>
      </c>
      <c r="G24" t="n">
        <v>12</v>
      </c>
      <c r="H24" t="n">
        <v>4404</v>
      </c>
      <c r="I24" t="n">
        <v>0</v>
      </c>
      <c r="J24" t="n">
        <v>4404</v>
      </c>
      <c r="K24" t="n">
        <v>1101</v>
      </c>
      <c r="L24" t="n">
        <v>3303</v>
      </c>
      <c r="M24" s="1" t="n">
        <v>41646</v>
      </c>
      <c r="N24" t="n">
        <v>7</v>
      </c>
      <c r="O24" t="inlineStr">
        <is>
          <t xml:space="preserve"> July </t>
        </is>
      </c>
      <c r="P24" t="n">
        <v>2014</v>
      </c>
      <c r="Q24" t="n">
        <v>0</v>
      </c>
      <c r="R24" t="n">
        <v>0.75</v>
      </c>
      <c r="S24" t="n">
        <v>0.25</v>
      </c>
      <c r="T24" t="n">
        <v>0</v>
      </c>
      <c r="U24" t="n">
        <v>12</v>
      </c>
      <c r="V24" t="n">
        <v>9</v>
      </c>
      <c r="W24" t="n">
        <v>0</v>
      </c>
    </row>
    <row r="25">
      <c r="A25" t="inlineStr">
        <is>
          <t>Channel Partners</t>
        </is>
      </c>
      <c r="B25" t="inlineStr">
        <is>
          <t>France</t>
        </is>
      </c>
      <c r="C25" t="inlineStr">
        <is>
          <t xml:space="preserve"> Paseo </t>
        </is>
      </c>
      <c r="D25" t="inlineStr">
        <is>
          <t xml:space="preserve"> Low </t>
        </is>
      </c>
      <c r="E25" t="n">
        <v>1785</v>
      </c>
      <c r="F25" t="n">
        <v>10</v>
      </c>
      <c r="G25" t="n">
        <v>12</v>
      </c>
      <c r="H25" t="n">
        <v>21420</v>
      </c>
      <c r="I25" t="n">
        <v>428.4</v>
      </c>
      <c r="J25" t="n">
        <v>20991.6</v>
      </c>
      <c r="K25" t="n">
        <v>5355</v>
      </c>
      <c r="L25" t="n">
        <v>15636.6</v>
      </c>
      <c r="M25" s="1" t="n">
        <v>41285</v>
      </c>
      <c r="N25" t="n">
        <v>11</v>
      </c>
      <c r="O25" t="inlineStr">
        <is>
          <t xml:space="preserve"> November </t>
        </is>
      </c>
      <c r="P25" t="n">
        <v>2013</v>
      </c>
      <c r="Q25" t="n">
        <v>0</v>
      </c>
      <c r="R25" t="n">
        <v>0.7448979591836735</v>
      </c>
      <c r="S25" t="n">
        <v>0.2551020408163265</v>
      </c>
      <c r="T25" t="n">
        <v>0.02040816326530612</v>
      </c>
      <c r="U25" t="n">
        <v>11.76</v>
      </c>
      <c r="V25" t="n">
        <v>8.76</v>
      </c>
      <c r="W25" t="n">
        <v>0</v>
      </c>
    </row>
    <row r="26">
      <c r="A26" t="inlineStr">
        <is>
          <t>Channel Partners</t>
        </is>
      </c>
      <c r="B26" t="inlineStr">
        <is>
          <t>Canada</t>
        </is>
      </c>
      <c r="C26" t="inlineStr">
        <is>
          <t xml:space="preserve"> Paseo </t>
        </is>
      </c>
      <c r="D26" t="inlineStr">
        <is>
          <t xml:space="preserve"> Low </t>
        </is>
      </c>
      <c r="E26" t="n">
        <v>1295</v>
      </c>
      <c r="F26" t="n">
        <v>10</v>
      </c>
      <c r="G26" t="n">
        <v>12</v>
      </c>
      <c r="H26" t="n">
        <v>15540</v>
      </c>
      <c r="I26" t="n">
        <v>310.8</v>
      </c>
      <c r="J26" t="n">
        <v>15229.2</v>
      </c>
      <c r="K26" t="n">
        <v>3885</v>
      </c>
      <c r="L26" t="n">
        <v>11344.2</v>
      </c>
      <c r="M26" s="1" t="n">
        <v>41649</v>
      </c>
      <c r="N26" t="n">
        <v>10</v>
      </c>
      <c r="O26" t="inlineStr">
        <is>
          <t xml:space="preserve"> October </t>
        </is>
      </c>
      <c r="P26" t="n">
        <v>2014</v>
      </c>
      <c r="Q26" t="n">
        <v>0</v>
      </c>
      <c r="R26" t="n">
        <v>0.7448979591836735</v>
      </c>
      <c r="S26" t="n">
        <v>0.2551020408163265</v>
      </c>
      <c r="T26" t="n">
        <v>0.02040816326530612</v>
      </c>
      <c r="U26" t="n">
        <v>11.76</v>
      </c>
      <c r="V26" t="n">
        <v>8.76</v>
      </c>
      <c r="W26" t="n">
        <v>0</v>
      </c>
    </row>
    <row r="27">
      <c r="A27" t="inlineStr">
        <is>
          <t>Channel Partners</t>
        </is>
      </c>
      <c r="B27" t="inlineStr">
        <is>
          <t>United States of America</t>
        </is>
      </c>
      <c r="C27" t="inlineStr">
        <is>
          <t xml:space="preserve"> Paseo </t>
        </is>
      </c>
      <c r="D27" t="inlineStr">
        <is>
          <t xml:space="preserve"> Low </t>
        </is>
      </c>
      <c r="E27" t="n">
        <v>1142</v>
      </c>
      <c r="F27" t="n">
        <v>10</v>
      </c>
      <c r="G27" t="n">
        <v>12</v>
      </c>
      <c r="H27" t="n">
        <v>13704</v>
      </c>
      <c r="I27" t="n">
        <v>274.08</v>
      </c>
      <c r="J27" t="n">
        <v>13429.92</v>
      </c>
      <c r="K27" t="n">
        <v>3426</v>
      </c>
      <c r="L27" t="n">
        <v>10003.92</v>
      </c>
      <c r="M27" s="1" t="n">
        <v>41645</v>
      </c>
      <c r="N27" t="n">
        <v>6</v>
      </c>
      <c r="O27" t="inlineStr">
        <is>
          <t xml:space="preserve"> June </t>
        </is>
      </c>
      <c r="P27" t="n">
        <v>2014</v>
      </c>
      <c r="Q27" t="n">
        <v>0</v>
      </c>
      <c r="R27" t="n">
        <v>0.7448979591836735</v>
      </c>
      <c r="S27" t="n">
        <v>0.2551020408163265</v>
      </c>
      <c r="T27" t="n">
        <v>0.02040816326530612</v>
      </c>
      <c r="U27" t="n">
        <v>11.76</v>
      </c>
      <c r="V27" t="n">
        <v>8.76</v>
      </c>
      <c r="W27" t="n">
        <v>0</v>
      </c>
    </row>
    <row r="28">
      <c r="A28" t="inlineStr">
        <is>
          <t>Channel Partners</t>
        </is>
      </c>
      <c r="B28" t="inlineStr">
        <is>
          <t>Germany</t>
        </is>
      </c>
      <c r="C28" t="inlineStr">
        <is>
          <t xml:space="preserve"> Paseo </t>
        </is>
      </c>
      <c r="D28" t="inlineStr">
        <is>
          <t xml:space="preserve"> Low </t>
        </is>
      </c>
      <c r="E28" t="n">
        <v>766</v>
      </c>
      <c r="F28" t="n">
        <v>10</v>
      </c>
      <c r="G28" t="n">
        <v>12</v>
      </c>
      <c r="H28" t="n">
        <v>9192</v>
      </c>
      <c r="I28" t="n">
        <v>91.92</v>
      </c>
      <c r="J28" t="n">
        <v>9100.08</v>
      </c>
      <c r="K28" t="n">
        <v>2298</v>
      </c>
      <c r="L28" t="n">
        <v>6802.08</v>
      </c>
      <c r="M28" s="1" t="n">
        <v>41284</v>
      </c>
      <c r="N28" t="n">
        <v>10</v>
      </c>
      <c r="O28" t="inlineStr">
        <is>
          <t xml:space="preserve"> October </t>
        </is>
      </c>
      <c r="P28" t="n">
        <v>2013</v>
      </c>
      <c r="Q28" t="n">
        <v>0</v>
      </c>
      <c r="R28" t="n">
        <v>0.7474747474747475</v>
      </c>
      <c r="S28" t="n">
        <v>0.2525252525252525</v>
      </c>
      <c r="T28" t="n">
        <v>0.0101010101010101</v>
      </c>
      <c r="U28" t="n">
        <v>11.88</v>
      </c>
      <c r="V28" t="n">
        <v>8.880000000000001</v>
      </c>
      <c r="W28" t="n">
        <v>0</v>
      </c>
    </row>
    <row r="29">
      <c r="A29" t="inlineStr">
        <is>
          <t>Channel Partners</t>
        </is>
      </c>
      <c r="B29" t="inlineStr">
        <is>
          <t>United States of America</t>
        </is>
      </c>
      <c r="C29" t="inlineStr">
        <is>
          <t xml:space="preserve"> Paseo </t>
        </is>
      </c>
      <c r="D29" t="inlineStr">
        <is>
          <t xml:space="preserve"> None </t>
        </is>
      </c>
      <c r="E29" t="n">
        <v>912</v>
      </c>
      <c r="F29" t="n">
        <v>10</v>
      </c>
      <c r="G29" t="n">
        <v>12</v>
      </c>
      <c r="H29" t="n">
        <v>10944</v>
      </c>
      <c r="I29" t="n">
        <v>0</v>
      </c>
      <c r="J29" t="n">
        <v>10944</v>
      </c>
      <c r="K29" t="n">
        <v>2736</v>
      </c>
      <c r="L29" t="n">
        <v>8208</v>
      </c>
      <c r="M29" s="1" t="n">
        <v>41285</v>
      </c>
      <c r="N29" t="n">
        <v>11</v>
      </c>
      <c r="O29" t="inlineStr">
        <is>
          <t xml:space="preserve"> November </t>
        </is>
      </c>
      <c r="P29" t="n">
        <v>2013</v>
      </c>
      <c r="Q29" t="n">
        <v>0</v>
      </c>
      <c r="R29" t="n">
        <v>0.75</v>
      </c>
      <c r="S29" t="n">
        <v>0.25</v>
      </c>
      <c r="T29" t="n">
        <v>0</v>
      </c>
      <c r="U29" t="n">
        <v>12</v>
      </c>
      <c r="V29" t="n">
        <v>9</v>
      </c>
      <c r="W29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8"/>
  <sheetViews>
    <sheetView tabSelected="0" topLeftCell="M1" workbookViewId="0">
      <selection activeCell="A3" sqref="A3:W98"/>
    </sheetView>
  </sheetViews>
  <sheetFormatPr baseColWidth="8" defaultRowHeight="14.4"/>
  <cols>
    <col width="10.5546875" bestFit="1" customWidth="1" min="1" max="1"/>
    <col width="20.77734375" bestFit="1" customWidth="1" min="2" max="2"/>
    <col width="10.44140625" bestFit="1" customWidth="1" min="3" max="3"/>
    <col width="15.6640625" bestFit="1" customWidth="1" min="4" max="4"/>
    <col width="12.77734375" bestFit="1" customWidth="1" min="5" max="5"/>
    <col width="21" bestFit="1" customWidth="1" min="6" max="6"/>
    <col width="12.6640625" bestFit="1" customWidth="1" min="7" max="7"/>
    <col width="14" bestFit="1" customWidth="1" min="8" max="8"/>
    <col width="12.109375" bestFit="1" customWidth="1" min="9" max="9"/>
    <col width="9" bestFit="1" customWidth="1" min="10" max="12"/>
    <col width="9.33203125" bestFit="1" customWidth="1" min="13" max="13"/>
    <col width="16" bestFit="1" customWidth="1" min="14" max="14"/>
    <col width="14.77734375" bestFit="1" customWidth="1" min="15" max="15"/>
    <col width="9" bestFit="1" customWidth="1" min="16" max="16"/>
    <col width="18.44140625" bestFit="1" customWidth="1" min="17" max="17"/>
    <col width="14.109375" bestFit="1" customWidth="1" min="18" max="18"/>
    <col width="12.33203125" bestFit="1" customWidth="1" min="19" max="19"/>
    <col width="15.77734375" bestFit="1" customWidth="1" min="20" max="20"/>
    <col width="21.33203125" bestFit="1" customWidth="1" min="21" max="21"/>
    <col width="12" bestFit="1" customWidth="1" min="22" max="22"/>
    <col width="9.109375" bestFit="1" customWidth="1" min="23" max="23"/>
  </cols>
  <sheetData>
    <row r="1">
      <c r="A1" s="13" t="inlineStr">
        <is>
          <t>Details for Sum of  Profit  - Segment: Enterprise</t>
        </is>
      </c>
    </row>
    <row r="3">
      <c r="A3" t="inlineStr">
        <is>
          <t>Segment</t>
        </is>
      </c>
      <c r="B3" t="inlineStr">
        <is>
          <t>Country</t>
        </is>
      </c>
      <c r="C3" t="inlineStr">
        <is>
          <t xml:space="preserve"> Product </t>
        </is>
      </c>
      <c r="D3" t="inlineStr">
        <is>
          <t>Discount_Band</t>
        </is>
      </c>
      <c r="E3" t="inlineStr">
        <is>
          <t xml:space="preserve"> Units_Sold </t>
        </is>
      </c>
      <c r="F3" t="inlineStr">
        <is>
          <t xml:space="preserve"> Manufacturing_Price </t>
        </is>
      </c>
      <c r="G3" t="inlineStr">
        <is>
          <t xml:space="preserve"> Sale_Price </t>
        </is>
      </c>
      <c r="H3" t="inlineStr">
        <is>
          <t xml:space="preserve"> Gross_Sales </t>
        </is>
      </c>
      <c r="I3" t="inlineStr">
        <is>
          <t xml:space="preserve"> Discounts </t>
        </is>
      </c>
      <c r="J3" t="inlineStr">
        <is>
          <t xml:space="preserve">  Sales </t>
        </is>
      </c>
      <c r="K3" t="inlineStr">
        <is>
          <t xml:space="preserve"> COGS </t>
        </is>
      </c>
      <c r="L3" t="inlineStr">
        <is>
          <t xml:space="preserve"> Profit </t>
        </is>
      </c>
      <c r="M3" t="inlineStr">
        <is>
          <t>Date</t>
        </is>
      </c>
      <c r="N3" t="inlineStr">
        <is>
          <t>Month_Number</t>
        </is>
      </c>
      <c r="O3" t="inlineStr">
        <is>
          <t xml:space="preserve"> Month_Name </t>
        </is>
      </c>
      <c r="P3" t="inlineStr">
        <is>
          <t>Year</t>
        </is>
      </c>
      <c r="Q3" t="inlineStr">
        <is>
          <t>is_fractional_units</t>
        </is>
      </c>
      <c r="R3" t="inlineStr">
        <is>
          <t>Profit_Margin</t>
        </is>
      </c>
      <c r="S3" t="inlineStr">
        <is>
          <t>Cogs_Ratio</t>
        </is>
      </c>
      <c r="T3" t="inlineStr">
        <is>
          <t>Discount_Ratio</t>
        </is>
      </c>
      <c r="U3" t="inlineStr">
        <is>
          <t>Average_selling_Price</t>
        </is>
      </c>
      <c r="V3" t="inlineStr">
        <is>
          <t>Unit_Profit</t>
        </is>
      </c>
      <c r="W3" t="inlineStr">
        <is>
          <t>Is_Loss</t>
        </is>
      </c>
    </row>
    <row r="4">
      <c r="A4" t="inlineStr">
        <is>
          <t>Enterprise</t>
        </is>
      </c>
      <c r="B4" t="inlineStr">
        <is>
          <t>United States of America</t>
        </is>
      </c>
      <c r="C4" t="inlineStr">
        <is>
          <t xml:space="preserve"> Amarilla </t>
        </is>
      </c>
      <c r="D4" t="inlineStr">
        <is>
          <t xml:space="preserve"> High </t>
        </is>
      </c>
      <c r="E4" t="n">
        <v>2844</v>
      </c>
      <c r="F4" t="n">
        <v>260</v>
      </c>
      <c r="G4" t="n">
        <v>125</v>
      </c>
      <c r="H4" t="n">
        <v>355500</v>
      </c>
      <c r="I4" t="n">
        <v>49770</v>
      </c>
      <c r="J4" t="n">
        <v>305730</v>
      </c>
      <c r="K4" t="n">
        <v>341280</v>
      </c>
      <c r="L4" t="n">
        <v>-35550</v>
      </c>
      <c r="M4" s="1" t="n">
        <v>41644</v>
      </c>
      <c r="N4" t="n">
        <v>5</v>
      </c>
      <c r="O4" t="inlineStr">
        <is>
          <t xml:space="preserve"> May </t>
        </is>
      </c>
      <c r="P4" t="n">
        <v>2014</v>
      </c>
      <c r="Q4" t="n">
        <v>0</v>
      </c>
      <c r="R4" t="n">
        <v>-0.1162790697674419</v>
      </c>
      <c r="S4" t="n">
        <v>1.116279069767442</v>
      </c>
      <c r="T4" t="n">
        <v>0.1627906976744186</v>
      </c>
      <c r="U4" t="n">
        <v>107.5</v>
      </c>
      <c r="V4" t="n">
        <v>-12.5</v>
      </c>
      <c r="W4" t="n">
        <v>1</v>
      </c>
    </row>
    <row r="5">
      <c r="A5" t="inlineStr">
        <is>
          <t>Enterprise</t>
        </is>
      </c>
      <c r="B5" t="inlineStr">
        <is>
          <t>Canada</t>
        </is>
      </c>
      <c r="C5" t="inlineStr">
        <is>
          <t xml:space="preserve"> Amarilla </t>
        </is>
      </c>
      <c r="D5" t="inlineStr">
        <is>
          <t xml:space="preserve"> High </t>
        </is>
      </c>
      <c r="E5" t="n">
        <v>1659</v>
      </c>
      <c r="F5" t="n">
        <v>260</v>
      </c>
      <c r="G5" t="n">
        <v>125</v>
      </c>
      <c r="H5" t="n">
        <v>207375</v>
      </c>
      <c r="I5" t="n">
        <v>26958.75</v>
      </c>
      <c r="J5" t="n">
        <v>180416.25</v>
      </c>
      <c r="K5" t="n">
        <v>199080</v>
      </c>
      <c r="L5" t="n">
        <v>-18663.75</v>
      </c>
      <c r="M5" s="1" t="n">
        <v>41640</v>
      </c>
      <c r="N5" t="n">
        <v>1</v>
      </c>
      <c r="O5" t="inlineStr">
        <is>
          <t xml:space="preserve"> January </t>
        </is>
      </c>
      <c r="P5" t="n">
        <v>2014</v>
      </c>
      <c r="Q5" t="n">
        <v>0</v>
      </c>
      <c r="R5" t="n">
        <v>-0.103448275862069</v>
      </c>
      <c r="S5" t="n">
        <v>1.103448275862069</v>
      </c>
      <c r="T5" t="n">
        <v>0.1494252873563219</v>
      </c>
      <c r="U5" t="n">
        <v>108.75</v>
      </c>
      <c r="V5" t="n">
        <v>-11.25</v>
      </c>
      <c r="W5" t="n">
        <v>1</v>
      </c>
    </row>
    <row r="6">
      <c r="A6" t="inlineStr">
        <is>
          <t>Enterprise</t>
        </is>
      </c>
      <c r="B6" t="inlineStr">
        <is>
          <t>Mexico</t>
        </is>
      </c>
      <c r="C6" t="inlineStr">
        <is>
          <t xml:space="preserve"> Amarilla </t>
        </is>
      </c>
      <c r="D6" t="inlineStr">
        <is>
          <t xml:space="preserve"> High </t>
        </is>
      </c>
      <c r="E6" t="n">
        <v>947</v>
      </c>
      <c r="F6" t="n">
        <v>260</v>
      </c>
      <c r="G6" t="n">
        <v>125</v>
      </c>
      <c r="H6" t="n">
        <v>118375</v>
      </c>
      <c r="I6" t="n">
        <v>13021.25</v>
      </c>
      <c r="J6" t="n">
        <v>105353.75</v>
      </c>
      <c r="K6" t="n">
        <v>113640</v>
      </c>
      <c r="L6" t="n">
        <v>-8286.25</v>
      </c>
      <c r="M6" s="1" t="n">
        <v>41283</v>
      </c>
      <c r="N6" t="n">
        <v>9</v>
      </c>
      <c r="O6" t="inlineStr">
        <is>
          <t xml:space="preserve"> September </t>
        </is>
      </c>
      <c r="P6" t="n">
        <v>2013</v>
      </c>
      <c r="Q6" t="n">
        <v>0</v>
      </c>
      <c r="R6" t="n">
        <v>-0.07865168539325842</v>
      </c>
      <c r="S6" t="n">
        <v>1.078651685393258</v>
      </c>
      <c r="T6" t="n">
        <v>0.1235955056179775</v>
      </c>
      <c r="U6" t="n">
        <v>111.25</v>
      </c>
      <c r="V6" t="n">
        <v>-8.75</v>
      </c>
      <c r="W6" t="n">
        <v>1</v>
      </c>
    </row>
    <row r="7">
      <c r="A7" t="inlineStr">
        <is>
          <t>Enterprise</t>
        </is>
      </c>
      <c r="B7" t="inlineStr">
        <is>
          <t>France</t>
        </is>
      </c>
      <c r="C7" t="inlineStr">
        <is>
          <t xml:space="preserve"> Amarilla </t>
        </is>
      </c>
      <c r="D7" t="inlineStr">
        <is>
          <t xml:space="preserve"> High </t>
        </is>
      </c>
      <c r="E7" t="n">
        <v>1433</v>
      </c>
      <c r="F7" t="n">
        <v>260</v>
      </c>
      <c r="G7" t="n">
        <v>125</v>
      </c>
      <c r="H7" t="n">
        <v>179125</v>
      </c>
      <c r="I7" t="n">
        <v>19703.75</v>
      </c>
      <c r="J7" t="n">
        <v>159421.25</v>
      </c>
      <c r="K7" t="n">
        <v>171960</v>
      </c>
      <c r="L7" t="n">
        <v>-12538.75</v>
      </c>
      <c r="M7" s="1" t="n">
        <v>41644</v>
      </c>
      <c r="N7" t="n">
        <v>5</v>
      </c>
      <c r="O7" t="inlineStr">
        <is>
          <t xml:space="preserve"> May </t>
        </is>
      </c>
      <c r="P7" t="n">
        <v>2014</v>
      </c>
      <c r="Q7" t="n">
        <v>0</v>
      </c>
      <c r="R7" t="n">
        <v>-0.07865168539325842</v>
      </c>
      <c r="S7" t="n">
        <v>1.078651685393258</v>
      </c>
      <c r="T7" t="n">
        <v>0.1235955056179775</v>
      </c>
      <c r="U7" t="n">
        <v>111.25</v>
      </c>
      <c r="V7" t="n">
        <v>-8.75</v>
      </c>
      <c r="W7" t="n">
        <v>1</v>
      </c>
    </row>
    <row r="8">
      <c r="A8" t="inlineStr">
        <is>
          <t>Enterprise</t>
        </is>
      </c>
      <c r="B8" t="inlineStr">
        <is>
          <t>Germany</t>
        </is>
      </c>
      <c r="C8" t="inlineStr">
        <is>
          <t xml:space="preserve"> Amarilla </t>
        </is>
      </c>
      <c r="D8" t="inlineStr">
        <is>
          <t xml:space="preserve"> High </t>
        </is>
      </c>
      <c r="E8" t="n">
        <v>3165</v>
      </c>
      <c r="F8" t="n">
        <v>260</v>
      </c>
      <c r="G8" t="n">
        <v>125</v>
      </c>
      <c r="H8" t="n">
        <v>395625</v>
      </c>
      <c r="I8" t="n">
        <v>43518.75</v>
      </c>
      <c r="J8" t="n">
        <v>352106.25</v>
      </c>
      <c r="K8" t="n">
        <v>379800</v>
      </c>
      <c r="L8" t="n">
        <v>-27693.75</v>
      </c>
      <c r="M8" s="1" t="n">
        <v>41640</v>
      </c>
      <c r="N8" t="n">
        <v>1</v>
      </c>
      <c r="O8" t="inlineStr">
        <is>
          <t xml:space="preserve"> January </t>
        </is>
      </c>
      <c r="P8" t="n">
        <v>2014</v>
      </c>
      <c r="Q8" t="n">
        <v>0</v>
      </c>
      <c r="R8" t="n">
        <v>-0.07865168539325842</v>
      </c>
      <c r="S8" t="n">
        <v>1.078651685393258</v>
      </c>
      <c r="T8" t="n">
        <v>0.1235955056179775</v>
      </c>
      <c r="U8" t="n">
        <v>111.25</v>
      </c>
      <c r="V8" t="n">
        <v>-8.75</v>
      </c>
      <c r="W8" t="n">
        <v>1</v>
      </c>
    </row>
    <row r="9">
      <c r="A9" t="inlineStr">
        <is>
          <t>Enterprise</t>
        </is>
      </c>
      <c r="B9" t="inlineStr">
        <is>
          <t>United States of America</t>
        </is>
      </c>
      <c r="C9" t="inlineStr">
        <is>
          <t xml:space="preserve"> Amarilla </t>
        </is>
      </c>
      <c r="D9" t="inlineStr">
        <is>
          <t xml:space="preserve"> High </t>
        </is>
      </c>
      <c r="E9" t="n">
        <v>579</v>
      </c>
      <c r="F9" t="n">
        <v>260</v>
      </c>
      <c r="G9" t="n">
        <v>125</v>
      </c>
      <c r="H9" t="n">
        <v>72375</v>
      </c>
      <c r="I9" t="n">
        <v>7237.5</v>
      </c>
      <c r="J9" t="n">
        <v>65137.5</v>
      </c>
      <c r="K9" t="n">
        <v>69480</v>
      </c>
      <c r="L9" t="n">
        <v>-4342.5</v>
      </c>
      <c r="M9" s="1" t="n">
        <v>41640</v>
      </c>
      <c r="N9" t="n">
        <v>1</v>
      </c>
      <c r="O9" t="inlineStr">
        <is>
          <t xml:space="preserve"> January </t>
        </is>
      </c>
      <c r="P9" t="n">
        <v>2014</v>
      </c>
      <c r="Q9" t="n">
        <v>0</v>
      </c>
      <c r="R9" t="n">
        <v>-0.06666666666666667</v>
      </c>
      <c r="S9" t="n">
        <v>1.066666666666667</v>
      </c>
      <c r="T9" t="n">
        <v>0.1111111111111111</v>
      </c>
      <c r="U9" t="n">
        <v>112.5</v>
      </c>
      <c r="V9" t="n">
        <v>-7.5</v>
      </c>
      <c r="W9" t="n">
        <v>1</v>
      </c>
    </row>
    <row r="10">
      <c r="A10" t="inlineStr">
        <is>
          <t>Enterprise</t>
        </is>
      </c>
      <c r="B10" t="inlineStr">
        <is>
          <t>Germany</t>
        </is>
      </c>
      <c r="C10" t="inlineStr">
        <is>
          <t xml:space="preserve"> Amarilla </t>
        </is>
      </c>
      <c r="D10" t="inlineStr">
        <is>
          <t xml:space="preserve"> Medium </t>
        </is>
      </c>
      <c r="E10" t="n">
        <v>994</v>
      </c>
      <c r="F10" t="n">
        <v>260</v>
      </c>
      <c r="G10" t="n">
        <v>125</v>
      </c>
      <c r="H10" t="n">
        <v>124250</v>
      </c>
      <c r="I10" t="n">
        <v>8697.5</v>
      </c>
      <c r="J10" t="n">
        <v>115552.5</v>
      </c>
      <c r="K10" t="n">
        <v>119280</v>
      </c>
      <c r="L10" t="n">
        <v>-3727.5</v>
      </c>
      <c r="M10" s="1" t="n">
        <v>41283</v>
      </c>
      <c r="N10" t="n">
        <v>9</v>
      </c>
      <c r="O10" t="inlineStr">
        <is>
          <t xml:space="preserve"> September </t>
        </is>
      </c>
      <c r="P10" t="n">
        <v>2013</v>
      </c>
      <c r="Q10" t="n">
        <v>0</v>
      </c>
      <c r="R10" t="n">
        <v>-0.03225806451612903</v>
      </c>
      <c r="S10" t="n">
        <v>1.032258064516129</v>
      </c>
      <c r="T10" t="n">
        <v>0.07526881720430108</v>
      </c>
      <c r="U10" t="n">
        <v>116.25</v>
      </c>
      <c r="V10" t="n">
        <v>-3.75</v>
      </c>
      <c r="W10" t="n">
        <v>1</v>
      </c>
    </row>
    <row r="11">
      <c r="A11" t="inlineStr">
        <is>
          <t>Enterprise</t>
        </is>
      </c>
      <c r="B11" t="inlineStr">
        <is>
          <t>Germany</t>
        </is>
      </c>
      <c r="C11" t="inlineStr">
        <is>
          <t xml:space="preserve"> Amarilla </t>
        </is>
      </c>
      <c r="D11" t="inlineStr">
        <is>
          <t xml:space="preserve"> None </t>
        </is>
      </c>
      <c r="E11" t="n">
        <v>4219.5</v>
      </c>
      <c r="F11" t="n">
        <v>260</v>
      </c>
      <c r="G11" t="n">
        <v>125</v>
      </c>
      <c r="H11" t="n">
        <v>527437.5</v>
      </c>
      <c r="I11" t="n">
        <v>0</v>
      </c>
      <c r="J11" t="n">
        <v>527437.5</v>
      </c>
      <c r="K11" t="n">
        <v>506340</v>
      </c>
      <c r="L11" t="n">
        <v>21097.5</v>
      </c>
      <c r="M11" s="1" t="n">
        <v>41643</v>
      </c>
      <c r="N11" t="n">
        <v>4</v>
      </c>
      <c r="O11" t="inlineStr">
        <is>
          <t xml:space="preserve"> April </t>
        </is>
      </c>
      <c r="P11" t="n">
        <v>2014</v>
      </c>
      <c r="Q11" t="n">
        <v>1</v>
      </c>
      <c r="R11" t="n">
        <v>0.04</v>
      </c>
      <c r="S11" t="n">
        <v>0.96</v>
      </c>
      <c r="T11" t="n">
        <v>0</v>
      </c>
      <c r="U11" t="n">
        <v>125</v>
      </c>
      <c r="V11" t="n">
        <v>5</v>
      </c>
      <c r="W11" t="n">
        <v>0</v>
      </c>
    </row>
    <row r="12">
      <c r="A12" t="inlineStr">
        <is>
          <t>Enterprise</t>
        </is>
      </c>
      <c r="B12" t="inlineStr">
        <is>
          <t>Canada</t>
        </is>
      </c>
      <c r="C12" t="inlineStr">
        <is>
          <t xml:space="preserve"> Amarilla </t>
        </is>
      </c>
      <c r="D12" t="inlineStr">
        <is>
          <t xml:space="preserve"> Medium </t>
        </is>
      </c>
      <c r="E12" t="n">
        <v>1645</v>
      </c>
      <c r="F12" t="n">
        <v>260</v>
      </c>
      <c r="G12" t="n">
        <v>125</v>
      </c>
      <c r="H12" t="n">
        <v>205625</v>
      </c>
      <c r="I12" t="n">
        <v>14393.75</v>
      </c>
      <c r="J12" t="n">
        <v>191231.25</v>
      </c>
      <c r="K12" t="n">
        <v>197400</v>
      </c>
      <c r="L12" t="n">
        <v>-6168.75</v>
      </c>
      <c r="M12" s="1" t="n">
        <v>41644</v>
      </c>
      <c r="N12" t="n">
        <v>5</v>
      </c>
      <c r="O12" t="inlineStr">
        <is>
          <t xml:space="preserve"> May </t>
        </is>
      </c>
      <c r="P12" t="n">
        <v>2014</v>
      </c>
      <c r="Q12" t="n">
        <v>0</v>
      </c>
      <c r="R12" t="n">
        <v>-0.03225806451612903</v>
      </c>
      <c r="S12" t="n">
        <v>1.032258064516129</v>
      </c>
      <c r="T12" t="n">
        <v>0.07526881720430108</v>
      </c>
      <c r="U12" t="n">
        <v>116.25</v>
      </c>
      <c r="V12" t="n">
        <v>-3.75</v>
      </c>
      <c r="W12" t="n">
        <v>1</v>
      </c>
    </row>
    <row r="13">
      <c r="A13" t="inlineStr">
        <is>
          <t>Enterprise</t>
        </is>
      </c>
      <c r="B13" t="inlineStr">
        <is>
          <t>France</t>
        </is>
      </c>
      <c r="C13" t="inlineStr">
        <is>
          <t xml:space="preserve"> Amarilla </t>
        </is>
      </c>
      <c r="D13" t="inlineStr">
        <is>
          <t xml:space="preserve"> Medium </t>
        </is>
      </c>
      <c r="E13" t="n">
        <v>1987.5</v>
      </c>
      <c r="F13" t="n">
        <v>260</v>
      </c>
      <c r="G13" t="n">
        <v>125</v>
      </c>
      <c r="H13" t="n">
        <v>248437.5</v>
      </c>
      <c r="I13" t="n">
        <v>14906.25</v>
      </c>
      <c r="J13" t="n">
        <v>233531.25</v>
      </c>
      <c r="K13" t="n">
        <v>238500</v>
      </c>
      <c r="L13" t="n">
        <v>-4968.75</v>
      </c>
      <c r="M13" s="1" t="n">
        <v>41640</v>
      </c>
      <c r="N13" t="n">
        <v>1</v>
      </c>
      <c r="O13" t="inlineStr">
        <is>
          <t xml:space="preserve"> January </t>
        </is>
      </c>
      <c r="P13" t="n">
        <v>2014</v>
      </c>
      <c r="Q13" t="n">
        <v>1</v>
      </c>
      <c r="R13" t="n">
        <v>-0.02127659574468085</v>
      </c>
      <c r="S13" t="n">
        <v>1.021276595744681</v>
      </c>
      <c r="T13" t="n">
        <v>0.06382978723404255</v>
      </c>
      <c r="U13" t="n">
        <v>117.5</v>
      </c>
      <c r="V13" t="n">
        <v>-2.5</v>
      </c>
      <c r="W13" t="n">
        <v>1</v>
      </c>
    </row>
    <row r="14">
      <c r="A14" t="inlineStr">
        <is>
          <t>Enterprise</t>
        </is>
      </c>
      <c r="B14" t="inlineStr">
        <is>
          <t>Germany</t>
        </is>
      </c>
      <c r="C14" t="inlineStr">
        <is>
          <t xml:space="preserve"> Amarilla </t>
        </is>
      </c>
      <c r="D14" t="inlineStr">
        <is>
          <t xml:space="preserve"> Low </t>
        </is>
      </c>
      <c r="E14" t="n">
        <v>2276</v>
      </c>
      <c r="F14" t="n">
        <v>260</v>
      </c>
      <c r="G14" t="n">
        <v>125</v>
      </c>
      <c r="H14" t="n">
        <v>284500</v>
      </c>
      <c r="I14" t="n">
        <v>5690</v>
      </c>
      <c r="J14" t="n">
        <v>278810</v>
      </c>
      <c r="K14" t="n">
        <v>273120</v>
      </c>
      <c r="L14" t="n">
        <v>5690</v>
      </c>
      <c r="M14" s="1" t="n">
        <v>41644</v>
      </c>
      <c r="N14" t="n">
        <v>5</v>
      </c>
      <c r="O14" t="inlineStr">
        <is>
          <t xml:space="preserve"> May </t>
        </is>
      </c>
      <c r="P14" t="n">
        <v>2014</v>
      </c>
      <c r="Q14" t="n">
        <v>0</v>
      </c>
      <c r="R14" t="n">
        <v>0.02040816326530612</v>
      </c>
      <c r="S14" t="n">
        <v>0.9795918367346939</v>
      </c>
      <c r="T14" t="n">
        <v>0.02040816326530612</v>
      </c>
      <c r="U14" t="n">
        <v>122.5</v>
      </c>
      <c r="V14" t="n">
        <v>2.5</v>
      </c>
      <c r="W14" t="n">
        <v>0</v>
      </c>
    </row>
    <row r="15">
      <c r="A15" t="inlineStr">
        <is>
          <t>Enterprise</t>
        </is>
      </c>
      <c r="B15" t="inlineStr">
        <is>
          <t>Germany</t>
        </is>
      </c>
      <c r="C15" t="inlineStr">
        <is>
          <t xml:space="preserve"> Carretera </t>
        </is>
      </c>
      <c r="D15" t="inlineStr">
        <is>
          <t xml:space="preserve"> High </t>
        </is>
      </c>
      <c r="E15" t="n">
        <v>1085</v>
      </c>
      <c r="F15" t="n">
        <v>3</v>
      </c>
      <c r="G15" t="n">
        <v>125</v>
      </c>
      <c r="H15" t="n">
        <v>135625</v>
      </c>
      <c r="I15" t="n">
        <v>20343.75</v>
      </c>
      <c r="J15" t="n">
        <v>115281.25</v>
      </c>
      <c r="K15" t="n">
        <v>130200</v>
      </c>
      <c r="L15" t="n">
        <v>-14918.75</v>
      </c>
      <c r="M15" s="1" t="n">
        <v>41649</v>
      </c>
      <c r="N15" t="n">
        <v>10</v>
      </c>
      <c r="O15" t="inlineStr">
        <is>
          <t xml:space="preserve"> October </t>
        </is>
      </c>
      <c r="P15" t="n">
        <v>2014</v>
      </c>
      <c r="Q15" t="n">
        <v>0</v>
      </c>
      <c r="R15" t="n">
        <v>-0.1294117647058824</v>
      </c>
      <c r="S15" t="n">
        <v>1.129411764705882</v>
      </c>
      <c r="T15" t="n">
        <v>0.1764705882352941</v>
      </c>
      <c r="U15" t="n">
        <v>106.25</v>
      </c>
      <c r="V15" t="n">
        <v>-13.75</v>
      </c>
      <c r="W15" t="n">
        <v>1</v>
      </c>
    </row>
    <row r="16">
      <c r="A16" t="inlineStr">
        <is>
          <t>Enterprise</t>
        </is>
      </c>
      <c r="B16" t="inlineStr">
        <is>
          <t>Germany</t>
        </is>
      </c>
      <c r="C16" t="inlineStr">
        <is>
          <t xml:space="preserve"> Carretera </t>
        </is>
      </c>
      <c r="D16" t="inlineStr">
        <is>
          <t xml:space="preserve"> High </t>
        </is>
      </c>
      <c r="E16" t="n">
        <v>2767</v>
      </c>
      <c r="F16" t="n">
        <v>3</v>
      </c>
      <c r="G16" t="n">
        <v>125</v>
      </c>
      <c r="H16" t="n">
        <v>345875</v>
      </c>
      <c r="I16" t="n">
        <v>51881.25</v>
      </c>
      <c r="J16" t="n">
        <v>293993.75</v>
      </c>
      <c r="K16" t="n">
        <v>332040</v>
      </c>
      <c r="L16" t="n">
        <v>-38046.25</v>
      </c>
      <c r="M16" s="1" t="n">
        <v>41647</v>
      </c>
      <c r="N16" t="n">
        <v>8</v>
      </c>
      <c r="O16" t="inlineStr">
        <is>
          <t xml:space="preserve"> August </t>
        </is>
      </c>
      <c r="P16" t="n">
        <v>2014</v>
      </c>
      <c r="Q16" t="n">
        <v>0</v>
      </c>
      <c r="R16" t="n">
        <v>-0.1294117647058824</v>
      </c>
      <c r="S16" t="n">
        <v>1.129411764705882</v>
      </c>
      <c r="T16" t="n">
        <v>0.1764705882352941</v>
      </c>
      <c r="U16" t="n">
        <v>106.25</v>
      </c>
      <c r="V16" t="n">
        <v>-13.75</v>
      </c>
      <c r="W16" t="n">
        <v>1</v>
      </c>
    </row>
    <row r="17">
      <c r="A17" t="inlineStr">
        <is>
          <t>Enterprise</t>
        </is>
      </c>
      <c r="B17" t="inlineStr">
        <is>
          <t>France</t>
        </is>
      </c>
      <c r="C17" t="inlineStr">
        <is>
          <t xml:space="preserve"> Carretera </t>
        </is>
      </c>
      <c r="D17" t="inlineStr">
        <is>
          <t xml:space="preserve"> High </t>
        </is>
      </c>
      <c r="E17" t="n">
        <v>1174</v>
      </c>
      <c r="F17" t="n">
        <v>3</v>
      </c>
      <c r="G17" t="n">
        <v>125</v>
      </c>
      <c r="H17" t="n">
        <v>146750</v>
      </c>
      <c r="I17" t="n">
        <v>22012.5</v>
      </c>
      <c r="J17" t="n">
        <v>124737.5</v>
      </c>
      <c r="K17" t="n">
        <v>140880</v>
      </c>
      <c r="L17" t="n">
        <v>-16142.5</v>
      </c>
      <c r="M17" s="1" t="n">
        <v>41647</v>
      </c>
      <c r="N17" t="n">
        <v>8</v>
      </c>
      <c r="O17" t="inlineStr">
        <is>
          <t xml:space="preserve"> August </t>
        </is>
      </c>
      <c r="P17" t="n">
        <v>2014</v>
      </c>
      <c r="Q17" t="n">
        <v>0</v>
      </c>
      <c r="R17" t="n">
        <v>-0.1294117647058824</v>
      </c>
      <c r="S17" t="n">
        <v>1.129411764705882</v>
      </c>
      <c r="T17" t="n">
        <v>0.1764705882352941</v>
      </c>
      <c r="U17" t="n">
        <v>106.25</v>
      </c>
      <c r="V17" t="n">
        <v>-13.75</v>
      </c>
      <c r="W17" t="n">
        <v>1</v>
      </c>
    </row>
    <row r="18">
      <c r="A18" t="inlineStr">
        <is>
          <t>Enterprise</t>
        </is>
      </c>
      <c r="B18" t="inlineStr">
        <is>
          <t>Mexico</t>
        </is>
      </c>
      <c r="C18" t="inlineStr">
        <is>
          <t xml:space="preserve"> Carretera </t>
        </is>
      </c>
      <c r="D18" t="inlineStr">
        <is>
          <t xml:space="preserve"> High </t>
        </is>
      </c>
      <c r="E18" t="n">
        <v>2821</v>
      </c>
      <c r="F18" t="n">
        <v>3</v>
      </c>
      <c r="G18" t="n">
        <v>125</v>
      </c>
      <c r="H18" t="n">
        <v>352625</v>
      </c>
      <c r="I18" t="n">
        <v>49367.5</v>
      </c>
      <c r="J18" t="n">
        <v>303257.5</v>
      </c>
      <c r="K18" t="n">
        <v>338520</v>
      </c>
      <c r="L18" t="n">
        <v>-35262.5</v>
      </c>
      <c r="M18" s="1" t="n">
        <v>41286</v>
      </c>
      <c r="N18" t="n">
        <v>12</v>
      </c>
      <c r="O18" t="inlineStr">
        <is>
          <t xml:space="preserve"> December </t>
        </is>
      </c>
      <c r="P18" t="n">
        <v>2013</v>
      </c>
      <c r="Q18" t="n">
        <v>0</v>
      </c>
      <c r="R18" t="n">
        <v>-0.1162790697674419</v>
      </c>
      <c r="S18" t="n">
        <v>1.116279069767442</v>
      </c>
      <c r="T18" t="n">
        <v>0.1627906976744186</v>
      </c>
      <c r="U18" t="n">
        <v>107.5</v>
      </c>
      <c r="V18" t="n">
        <v>-12.5</v>
      </c>
      <c r="W18" t="n">
        <v>1</v>
      </c>
    </row>
    <row r="19">
      <c r="A19" t="inlineStr">
        <is>
          <t>Enterprise</t>
        </is>
      </c>
      <c r="B19" t="inlineStr">
        <is>
          <t>France</t>
        </is>
      </c>
      <c r="C19" t="inlineStr">
        <is>
          <t xml:space="preserve"> Carretera </t>
        </is>
      </c>
      <c r="D19" t="inlineStr">
        <is>
          <t xml:space="preserve"> High </t>
        </is>
      </c>
      <c r="E19" t="n">
        <v>1023</v>
      </c>
      <c r="F19" t="n">
        <v>3</v>
      </c>
      <c r="G19" t="n">
        <v>125</v>
      </c>
      <c r="H19" t="n">
        <v>127875</v>
      </c>
      <c r="I19" t="n">
        <v>17902.5</v>
      </c>
      <c r="J19" t="n">
        <v>109972.5</v>
      </c>
      <c r="K19" t="n">
        <v>122760</v>
      </c>
      <c r="L19" t="n">
        <v>-12787.5</v>
      </c>
      <c r="M19" s="1" t="n">
        <v>41283</v>
      </c>
      <c r="N19" t="n">
        <v>9</v>
      </c>
      <c r="O19" t="inlineStr">
        <is>
          <t xml:space="preserve"> September </t>
        </is>
      </c>
      <c r="P19" t="n">
        <v>2013</v>
      </c>
      <c r="Q19" t="n">
        <v>0</v>
      </c>
      <c r="R19" t="n">
        <v>-0.1162790697674419</v>
      </c>
      <c r="S19" t="n">
        <v>1.116279069767442</v>
      </c>
      <c r="T19" t="n">
        <v>0.1627906976744186</v>
      </c>
      <c r="U19" t="n">
        <v>107.5</v>
      </c>
      <c r="V19" t="n">
        <v>-12.5</v>
      </c>
      <c r="W19" t="n">
        <v>1</v>
      </c>
    </row>
    <row r="20">
      <c r="A20" t="inlineStr">
        <is>
          <t>Enterprise</t>
        </is>
      </c>
      <c r="B20" t="inlineStr">
        <is>
          <t>Mexico</t>
        </is>
      </c>
      <c r="C20" t="inlineStr">
        <is>
          <t xml:space="preserve"> Carretera </t>
        </is>
      </c>
      <c r="D20" t="inlineStr">
        <is>
          <t xml:space="preserve"> High </t>
        </is>
      </c>
      <c r="E20" t="n">
        <v>2156</v>
      </c>
      <c r="F20" t="n">
        <v>3</v>
      </c>
      <c r="G20" t="n">
        <v>125</v>
      </c>
      <c r="H20" t="n">
        <v>269500</v>
      </c>
      <c r="I20" t="n">
        <v>32340</v>
      </c>
      <c r="J20" t="n">
        <v>237160</v>
      </c>
      <c r="K20" t="n">
        <v>258720</v>
      </c>
      <c r="L20" t="n">
        <v>-21560</v>
      </c>
      <c r="M20" s="1" t="n">
        <v>41649</v>
      </c>
      <c r="N20" t="n">
        <v>10</v>
      </c>
      <c r="O20" t="inlineStr">
        <is>
          <t xml:space="preserve"> October </t>
        </is>
      </c>
      <c r="P20" t="n">
        <v>2014</v>
      </c>
      <c r="Q20" t="n">
        <v>0</v>
      </c>
      <c r="R20" t="n">
        <v>-0.09090909090909091</v>
      </c>
      <c r="S20" t="n">
        <v>1.090909090909091</v>
      </c>
      <c r="T20" t="n">
        <v>0.1363636363636364</v>
      </c>
      <c r="U20" t="n">
        <v>110</v>
      </c>
      <c r="V20" t="n">
        <v>-10</v>
      </c>
      <c r="W20" t="n">
        <v>1</v>
      </c>
    </row>
    <row r="21">
      <c r="A21" t="inlineStr">
        <is>
          <t>Enterprise</t>
        </is>
      </c>
      <c r="B21" t="inlineStr">
        <is>
          <t>Canada</t>
        </is>
      </c>
      <c r="C21" t="inlineStr">
        <is>
          <t xml:space="preserve"> Carretera </t>
        </is>
      </c>
      <c r="D21" t="inlineStr">
        <is>
          <t xml:space="preserve"> High </t>
        </is>
      </c>
      <c r="E21" t="n">
        <v>2416</v>
      </c>
      <c r="F21" t="n">
        <v>3</v>
      </c>
      <c r="G21" t="n">
        <v>125</v>
      </c>
      <c r="H21" t="n">
        <v>302000</v>
      </c>
      <c r="I21" t="n">
        <v>36240</v>
      </c>
      <c r="J21" t="n">
        <v>265760</v>
      </c>
      <c r="K21" t="n">
        <v>289920</v>
      </c>
      <c r="L21" t="n">
        <v>-24160</v>
      </c>
      <c r="M21" s="1" t="n">
        <v>41283</v>
      </c>
      <c r="N21" t="n">
        <v>9</v>
      </c>
      <c r="O21" t="inlineStr">
        <is>
          <t xml:space="preserve"> September </t>
        </is>
      </c>
      <c r="P21" t="n">
        <v>2013</v>
      </c>
      <c r="Q21" t="n">
        <v>0</v>
      </c>
      <c r="R21" t="n">
        <v>-0.09090909090909091</v>
      </c>
      <c r="S21" t="n">
        <v>1.090909090909091</v>
      </c>
      <c r="T21" t="n">
        <v>0.1363636363636364</v>
      </c>
      <c r="U21" t="n">
        <v>110</v>
      </c>
      <c r="V21" t="n">
        <v>-10</v>
      </c>
      <c r="W21" t="n">
        <v>1</v>
      </c>
    </row>
    <row r="22">
      <c r="A22" t="inlineStr">
        <is>
          <t>Enterprise</t>
        </is>
      </c>
      <c r="B22" t="inlineStr">
        <is>
          <t>France</t>
        </is>
      </c>
      <c r="C22" t="inlineStr">
        <is>
          <t xml:space="preserve"> Carretera </t>
        </is>
      </c>
      <c r="D22" t="inlineStr">
        <is>
          <t xml:space="preserve"> High </t>
        </is>
      </c>
      <c r="E22" t="n">
        <v>2441</v>
      </c>
      <c r="F22" t="n">
        <v>3</v>
      </c>
      <c r="G22" t="n">
        <v>125</v>
      </c>
      <c r="H22" t="n">
        <v>305125</v>
      </c>
      <c r="I22" t="n">
        <v>33563.75</v>
      </c>
      <c r="J22" t="n">
        <v>271561.25</v>
      </c>
      <c r="K22" t="n">
        <v>292920</v>
      </c>
      <c r="L22" t="n">
        <v>-21358.75</v>
      </c>
      <c r="M22" s="1" t="n">
        <v>41649</v>
      </c>
      <c r="N22" t="n">
        <v>10</v>
      </c>
      <c r="O22" t="inlineStr">
        <is>
          <t xml:space="preserve"> October </t>
        </is>
      </c>
      <c r="P22" t="n">
        <v>2014</v>
      </c>
      <c r="Q22" t="n">
        <v>0</v>
      </c>
      <c r="R22" t="n">
        <v>-0.07865168539325842</v>
      </c>
      <c r="S22" t="n">
        <v>1.078651685393258</v>
      </c>
      <c r="T22" t="n">
        <v>0.1235955056179775</v>
      </c>
      <c r="U22" t="n">
        <v>111.25</v>
      </c>
      <c r="V22" t="n">
        <v>-8.75</v>
      </c>
      <c r="W22" t="n">
        <v>1</v>
      </c>
    </row>
    <row r="23">
      <c r="A23" t="inlineStr">
        <is>
          <t>Enterprise</t>
        </is>
      </c>
      <c r="B23" t="inlineStr">
        <is>
          <t>France</t>
        </is>
      </c>
      <c r="C23" t="inlineStr">
        <is>
          <t xml:space="preserve"> Carretera </t>
        </is>
      </c>
      <c r="D23" t="inlineStr">
        <is>
          <t xml:space="preserve"> High </t>
        </is>
      </c>
      <c r="E23" t="n">
        <v>1482</v>
      </c>
      <c r="F23" t="n">
        <v>3</v>
      </c>
      <c r="G23" t="n">
        <v>125</v>
      </c>
      <c r="H23" t="n">
        <v>185250</v>
      </c>
      <c r="I23" t="n">
        <v>18525</v>
      </c>
      <c r="J23" t="n">
        <v>166725</v>
      </c>
      <c r="K23" t="n">
        <v>177840</v>
      </c>
      <c r="L23" t="n">
        <v>-11115</v>
      </c>
      <c r="M23" s="1" t="n">
        <v>41286</v>
      </c>
      <c r="N23" t="n">
        <v>12</v>
      </c>
      <c r="O23" t="inlineStr">
        <is>
          <t xml:space="preserve"> December </t>
        </is>
      </c>
      <c r="P23" t="n">
        <v>2013</v>
      </c>
      <c r="Q23" t="n">
        <v>0</v>
      </c>
      <c r="R23" t="n">
        <v>-0.06666666666666667</v>
      </c>
      <c r="S23" t="n">
        <v>1.066666666666667</v>
      </c>
      <c r="T23" t="n">
        <v>0.1111111111111111</v>
      </c>
      <c r="U23" t="n">
        <v>112.5</v>
      </c>
      <c r="V23" t="n">
        <v>-7.5</v>
      </c>
      <c r="W23" t="n">
        <v>1</v>
      </c>
    </row>
    <row r="24">
      <c r="A24" t="inlineStr">
        <is>
          <t>Enterprise</t>
        </is>
      </c>
      <c r="B24" t="inlineStr">
        <is>
          <t>United States of America</t>
        </is>
      </c>
      <c r="C24" t="inlineStr">
        <is>
          <t xml:space="preserve"> Carretera </t>
        </is>
      </c>
      <c r="D24" t="inlineStr">
        <is>
          <t xml:space="preserve"> High </t>
        </is>
      </c>
      <c r="E24" t="n">
        <v>3445.5</v>
      </c>
      <c r="F24" t="n">
        <v>3</v>
      </c>
      <c r="G24" t="n">
        <v>125</v>
      </c>
      <c r="H24" t="n">
        <v>430687.5</v>
      </c>
      <c r="I24" t="n">
        <v>43068.75</v>
      </c>
      <c r="J24" t="n">
        <v>387618.75</v>
      </c>
      <c r="K24" t="n">
        <v>413460</v>
      </c>
      <c r="L24" t="n">
        <v>-25841.25</v>
      </c>
      <c r="M24" s="1" t="n">
        <v>41643</v>
      </c>
      <c r="N24" t="n">
        <v>4</v>
      </c>
      <c r="O24" t="inlineStr">
        <is>
          <t xml:space="preserve"> April </t>
        </is>
      </c>
      <c r="P24" t="n">
        <v>2014</v>
      </c>
      <c r="Q24" t="n">
        <v>1</v>
      </c>
      <c r="R24" t="n">
        <v>-0.06666666666666667</v>
      </c>
      <c r="S24" t="n">
        <v>1.066666666666667</v>
      </c>
      <c r="T24" t="n">
        <v>0.1111111111111111</v>
      </c>
      <c r="U24" t="n">
        <v>112.5</v>
      </c>
      <c r="V24" t="n">
        <v>-7.5</v>
      </c>
      <c r="W24" t="n">
        <v>1</v>
      </c>
    </row>
    <row r="25">
      <c r="A25" t="inlineStr">
        <is>
          <t>Enterprise</t>
        </is>
      </c>
      <c r="B25" t="inlineStr">
        <is>
          <t>Mexico</t>
        </is>
      </c>
      <c r="C25" t="inlineStr">
        <is>
          <t xml:space="preserve"> Carretera </t>
        </is>
      </c>
      <c r="D25" t="inlineStr">
        <is>
          <t xml:space="preserve"> Medium </t>
        </is>
      </c>
      <c r="E25" t="n">
        <v>1540</v>
      </c>
      <c r="F25" t="n">
        <v>3</v>
      </c>
      <c r="G25" t="n">
        <v>125</v>
      </c>
      <c r="H25" t="n">
        <v>192500</v>
      </c>
      <c r="I25" t="n">
        <v>15400</v>
      </c>
      <c r="J25" t="n">
        <v>177100</v>
      </c>
      <c r="K25" t="n">
        <v>184800</v>
      </c>
      <c r="L25" t="n">
        <v>-7700</v>
      </c>
      <c r="M25" s="1" t="n">
        <v>41647</v>
      </c>
      <c r="N25" t="n">
        <v>8</v>
      </c>
      <c r="O25" t="inlineStr">
        <is>
          <t xml:space="preserve"> August </t>
        </is>
      </c>
      <c r="P25" t="n">
        <v>2014</v>
      </c>
      <c r="Q25" t="n">
        <v>0</v>
      </c>
      <c r="R25" t="n">
        <v>-0.04347826086956522</v>
      </c>
      <c r="S25" t="n">
        <v>1.043478260869565</v>
      </c>
      <c r="T25" t="n">
        <v>0.08695652173913043</v>
      </c>
      <c r="U25" t="n">
        <v>115</v>
      </c>
      <c r="V25" t="n">
        <v>-5</v>
      </c>
      <c r="W25" t="n">
        <v>1</v>
      </c>
    </row>
    <row r="26">
      <c r="A26" t="inlineStr">
        <is>
          <t>Enterprise</t>
        </is>
      </c>
      <c r="B26" t="inlineStr">
        <is>
          <t>Germany</t>
        </is>
      </c>
      <c r="C26" t="inlineStr">
        <is>
          <t xml:space="preserve"> Carretera </t>
        </is>
      </c>
      <c r="D26" t="inlineStr">
        <is>
          <t xml:space="preserve"> Medium </t>
        </is>
      </c>
      <c r="E26" t="n">
        <v>887</v>
      </c>
      <c r="F26" t="n">
        <v>3</v>
      </c>
      <c r="G26" t="n">
        <v>125</v>
      </c>
      <c r="H26" t="n">
        <v>110875</v>
      </c>
      <c r="I26" t="n">
        <v>6652.5</v>
      </c>
      <c r="J26" t="n">
        <v>104222.5</v>
      </c>
      <c r="K26" t="n">
        <v>106440</v>
      </c>
      <c r="L26" t="n">
        <v>-2217.5</v>
      </c>
      <c r="M26" s="1" t="n">
        <v>41286</v>
      </c>
      <c r="N26" t="n">
        <v>12</v>
      </c>
      <c r="O26" t="inlineStr">
        <is>
          <t xml:space="preserve"> December </t>
        </is>
      </c>
      <c r="P26" t="n">
        <v>2013</v>
      </c>
      <c r="Q26" t="n">
        <v>0</v>
      </c>
      <c r="R26" t="n">
        <v>-0.02127659574468085</v>
      </c>
      <c r="S26" t="n">
        <v>1.021276595744681</v>
      </c>
      <c r="T26" t="n">
        <v>0.06382978723404255</v>
      </c>
      <c r="U26" t="n">
        <v>117.5</v>
      </c>
      <c r="V26" t="n">
        <v>-2.5</v>
      </c>
      <c r="W26" t="n">
        <v>1</v>
      </c>
    </row>
    <row r="27">
      <c r="A27" t="inlineStr">
        <is>
          <t>Enterprise</t>
        </is>
      </c>
      <c r="B27" t="inlineStr">
        <is>
          <t>United States of America</t>
        </is>
      </c>
      <c r="C27" t="inlineStr">
        <is>
          <t xml:space="preserve"> Carretera </t>
        </is>
      </c>
      <c r="D27" t="inlineStr">
        <is>
          <t xml:space="preserve"> Low </t>
        </is>
      </c>
      <c r="E27" t="n">
        <v>330</v>
      </c>
      <c r="F27" t="n">
        <v>3</v>
      </c>
      <c r="G27" t="n">
        <v>125</v>
      </c>
      <c r="H27" t="n">
        <v>41250</v>
      </c>
      <c r="I27" t="n">
        <v>412.5</v>
      </c>
      <c r="J27" t="n">
        <v>40837.5</v>
      </c>
      <c r="K27" t="n">
        <v>39600</v>
      </c>
      <c r="L27" t="n">
        <v>1237.5</v>
      </c>
      <c r="M27" s="1" t="n">
        <v>41283</v>
      </c>
      <c r="N27" t="n">
        <v>9</v>
      </c>
      <c r="O27" t="inlineStr">
        <is>
          <t xml:space="preserve"> September </t>
        </is>
      </c>
      <c r="P27" t="n">
        <v>2013</v>
      </c>
      <c r="Q27" t="n">
        <v>0</v>
      </c>
      <c r="R27" t="n">
        <v>0.0303030303030303</v>
      </c>
      <c r="S27" t="n">
        <v>0.9696969696969697</v>
      </c>
      <c r="T27" t="n">
        <v>0.0101010101010101</v>
      </c>
      <c r="U27" t="n">
        <v>123.75</v>
      </c>
      <c r="V27" t="n">
        <v>3.75</v>
      </c>
      <c r="W27" t="n">
        <v>0</v>
      </c>
    </row>
    <row r="28">
      <c r="A28" t="inlineStr">
        <is>
          <t>Enterprise</t>
        </is>
      </c>
      <c r="B28" t="inlineStr">
        <is>
          <t>France</t>
        </is>
      </c>
      <c r="C28" t="inlineStr">
        <is>
          <t xml:space="preserve"> Carretera </t>
        </is>
      </c>
      <c r="D28" t="inlineStr">
        <is>
          <t xml:space="preserve"> Low </t>
        </is>
      </c>
      <c r="E28" t="n">
        <v>4243.5</v>
      </c>
      <c r="F28" t="n">
        <v>3</v>
      </c>
      <c r="G28" t="n">
        <v>125</v>
      </c>
      <c r="H28" t="n">
        <v>530437.5</v>
      </c>
      <c r="I28" t="n">
        <v>15913.13</v>
      </c>
      <c r="J28" t="n">
        <v>514524.38</v>
      </c>
      <c r="K28" t="n">
        <v>509220</v>
      </c>
      <c r="L28" t="n">
        <v>5304.38</v>
      </c>
      <c r="M28" s="1" t="n">
        <v>41643</v>
      </c>
      <c r="N28" t="n">
        <v>4</v>
      </c>
      <c r="O28" t="inlineStr">
        <is>
          <t xml:space="preserve"> April </t>
        </is>
      </c>
      <c r="P28" t="n">
        <v>2014</v>
      </c>
      <c r="Q28" t="n">
        <v>1</v>
      </c>
      <c r="R28" t="n">
        <v>0.01030928796804536</v>
      </c>
      <c r="S28" t="n">
        <v>0.9896907120319546</v>
      </c>
      <c r="T28" t="n">
        <v>0.03092784446871108</v>
      </c>
      <c r="U28" t="n">
        <v>121.2500011782727</v>
      </c>
      <c r="V28" t="n">
        <v>1.250001178272652</v>
      </c>
      <c r="W28" t="n">
        <v>0</v>
      </c>
    </row>
    <row r="29">
      <c r="A29" t="inlineStr">
        <is>
          <t>Enterprise</t>
        </is>
      </c>
      <c r="B29" t="inlineStr">
        <is>
          <t>Canada</t>
        </is>
      </c>
      <c r="C29" t="inlineStr">
        <is>
          <t xml:space="preserve"> Carretera </t>
        </is>
      </c>
      <c r="D29" t="inlineStr">
        <is>
          <t xml:space="preserve"> Low </t>
        </is>
      </c>
      <c r="E29" t="n">
        <v>742.5</v>
      </c>
      <c r="F29" t="n">
        <v>3</v>
      </c>
      <c r="G29" t="n">
        <v>125</v>
      </c>
      <c r="H29" t="n">
        <v>92812.5</v>
      </c>
      <c r="I29" t="n">
        <v>1856.25</v>
      </c>
      <c r="J29" t="n">
        <v>90956.25</v>
      </c>
      <c r="K29" t="n">
        <v>89100</v>
      </c>
      <c r="L29" t="n">
        <v>1856.25</v>
      </c>
      <c r="M29" s="1" t="n">
        <v>41643</v>
      </c>
      <c r="N29" t="n">
        <v>4</v>
      </c>
      <c r="O29" t="inlineStr">
        <is>
          <t xml:space="preserve"> April </t>
        </is>
      </c>
      <c r="P29" t="n">
        <v>2014</v>
      </c>
      <c r="Q29" t="n">
        <v>1</v>
      </c>
      <c r="R29" t="n">
        <v>0.02040816326530612</v>
      </c>
      <c r="S29" t="n">
        <v>0.9795918367346939</v>
      </c>
      <c r="T29" t="n">
        <v>0.02040816326530612</v>
      </c>
      <c r="U29" t="n">
        <v>122.5</v>
      </c>
      <c r="V29" t="n">
        <v>2.5</v>
      </c>
      <c r="W29" t="n">
        <v>0</v>
      </c>
    </row>
    <row r="30">
      <c r="A30" t="inlineStr">
        <is>
          <t>Enterprise</t>
        </is>
      </c>
      <c r="B30" t="inlineStr">
        <is>
          <t>Canada</t>
        </is>
      </c>
      <c r="C30" t="inlineStr">
        <is>
          <t xml:space="preserve"> Montana </t>
        </is>
      </c>
      <c r="D30" t="inlineStr">
        <is>
          <t xml:space="preserve"> None </t>
        </is>
      </c>
      <c r="E30" t="n">
        <v>2665.5</v>
      </c>
      <c r="F30" t="n">
        <v>5</v>
      </c>
      <c r="G30" t="n">
        <v>125</v>
      </c>
      <c r="H30" t="n">
        <v>333187.5</v>
      </c>
      <c r="I30" t="n">
        <v>0</v>
      </c>
      <c r="J30" t="n">
        <v>333187.5</v>
      </c>
      <c r="K30" t="n">
        <v>319860</v>
      </c>
      <c r="L30" t="n">
        <v>13327.5</v>
      </c>
      <c r="M30" s="1" t="n">
        <v>41646</v>
      </c>
      <c r="N30" t="n">
        <v>7</v>
      </c>
      <c r="O30" t="inlineStr">
        <is>
          <t xml:space="preserve"> July </t>
        </is>
      </c>
      <c r="P30" t="n">
        <v>2014</v>
      </c>
      <c r="Q30" t="n">
        <v>1</v>
      </c>
      <c r="R30" t="n">
        <v>0.04</v>
      </c>
      <c r="S30" t="n">
        <v>0.96</v>
      </c>
      <c r="T30" t="n">
        <v>0</v>
      </c>
      <c r="U30" t="n">
        <v>125</v>
      </c>
      <c r="V30" t="n">
        <v>5</v>
      </c>
      <c r="W30" t="n">
        <v>0</v>
      </c>
    </row>
    <row r="31">
      <c r="A31" t="inlineStr">
        <is>
          <t>Enterprise</t>
        </is>
      </c>
      <c r="B31" t="inlineStr">
        <is>
          <t>Canada</t>
        </is>
      </c>
      <c r="C31" t="inlineStr">
        <is>
          <t xml:space="preserve"> Montana </t>
        </is>
      </c>
      <c r="D31" t="inlineStr">
        <is>
          <t xml:space="preserve"> None </t>
        </is>
      </c>
      <c r="E31" t="n">
        <v>345</v>
      </c>
      <c r="F31" t="n">
        <v>5</v>
      </c>
      <c r="G31" t="n">
        <v>125</v>
      </c>
      <c r="H31" t="n">
        <v>43125</v>
      </c>
      <c r="I31" t="n">
        <v>0</v>
      </c>
      <c r="J31" t="n">
        <v>43125</v>
      </c>
      <c r="K31" t="n">
        <v>41400</v>
      </c>
      <c r="L31" t="n">
        <v>1725</v>
      </c>
      <c r="M31" s="1" t="n">
        <v>41284</v>
      </c>
      <c r="N31" t="n">
        <v>10</v>
      </c>
      <c r="O31" t="inlineStr">
        <is>
          <t xml:space="preserve"> October </t>
        </is>
      </c>
      <c r="P31" t="n">
        <v>2013</v>
      </c>
      <c r="Q31" t="n">
        <v>0</v>
      </c>
      <c r="R31" t="n">
        <v>0.04</v>
      </c>
      <c r="S31" t="n">
        <v>0.96</v>
      </c>
      <c r="T31" t="n">
        <v>0</v>
      </c>
      <c r="U31" t="n">
        <v>125</v>
      </c>
      <c r="V31" t="n">
        <v>5</v>
      </c>
      <c r="W31" t="n">
        <v>0</v>
      </c>
    </row>
    <row r="32">
      <c r="A32" t="inlineStr">
        <is>
          <t>Enterprise</t>
        </is>
      </c>
      <c r="B32" t="inlineStr">
        <is>
          <t>United States of America</t>
        </is>
      </c>
      <c r="C32" t="inlineStr">
        <is>
          <t xml:space="preserve"> Montana </t>
        </is>
      </c>
      <c r="D32" t="inlineStr">
        <is>
          <t xml:space="preserve"> High </t>
        </is>
      </c>
      <c r="E32" t="n">
        <v>1804</v>
      </c>
      <c r="F32" t="n">
        <v>5</v>
      </c>
      <c r="G32" t="n">
        <v>125</v>
      </c>
      <c r="H32" t="n">
        <v>225500</v>
      </c>
      <c r="I32" t="n">
        <v>22550</v>
      </c>
      <c r="J32" t="n">
        <v>202950</v>
      </c>
      <c r="K32" t="n">
        <v>216480</v>
      </c>
      <c r="L32" t="n">
        <v>-13530</v>
      </c>
      <c r="M32" s="1" t="n">
        <v>41285</v>
      </c>
      <c r="N32" t="n">
        <v>11</v>
      </c>
      <c r="O32" t="inlineStr">
        <is>
          <t xml:space="preserve"> November </t>
        </is>
      </c>
      <c r="P32" t="n">
        <v>2013</v>
      </c>
      <c r="Q32" t="n">
        <v>0</v>
      </c>
      <c r="R32" t="n">
        <v>-0.06666666666666667</v>
      </c>
      <c r="S32" t="n">
        <v>1.066666666666667</v>
      </c>
      <c r="T32" t="n">
        <v>0.1111111111111111</v>
      </c>
      <c r="U32" t="n">
        <v>112.5</v>
      </c>
      <c r="V32" t="n">
        <v>-7.5</v>
      </c>
      <c r="W32" t="n">
        <v>1</v>
      </c>
    </row>
    <row r="33">
      <c r="A33" t="inlineStr">
        <is>
          <t>Enterprise</t>
        </is>
      </c>
      <c r="B33" t="inlineStr">
        <is>
          <t>United States of America</t>
        </is>
      </c>
      <c r="C33" t="inlineStr">
        <is>
          <t xml:space="preserve"> Montana </t>
        </is>
      </c>
      <c r="D33" t="inlineStr">
        <is>
          <t xml:space="preserve"> Medium </t>
        </is>
      </c>
      <c r="E33" t="n">
        <v>2797</v>
      </c>
      <c r="F33" t="n">
        <v>5</v>
      </c>
      <c r="G33" t="n">
        <v>125</v>
      </c>
      <c r="H33" t="n">
        <v>349625</v>
      </c>
      <c r="I33" t="n">
        <v>31466.25</v>
      </c>
      <c r="J33" t="n">
        <v>318158.75</v>
      </c>
      <c r="K33" t="n">
        <v>335640</v>
      </c>
      <c r="L33" t="n">
        <v>-17481.25</v>
      </c>
      <c r="M33" s="1" t="n">
        <v>41651</v>
      </c>
      <c r="N33" t="n">
        <v>12</v>
      </c>
      <c r="O33" t="inlineStr">
        <is>
          <t xml:space="preserve"> December </t>
        </is>
      </c>
      <c r="P33" t="n">
        <v>2014</v>
      </c>
      <c r="Q33" t="n">
        <v>0</v>
      </c>
      <c r="R33" t="n">
        <v>-0.05494505494505494</v>
      </c>
      <c r="S33" t="n">
        <v>1.054945054945055</v>
      </c>
      <c r="T33" t="n">
        <v>0.0989010989010989</v>
      </c>
      <c r="U33" t="n">
        <v>113.75</v>
      </c>
      <c r="V33" t="n">
        <v>-6.25</v>
      </c>
      <c r="W33" t="n">
        <v>1</v>
      </c>
    </row>
    <row r="34">
      <c r="A34" t="inlineStr">
        <is>
          <t>Enterprise</t>
        </is>
      </c>
      <c r="B34" t="inlineStr">
        <is>
          <t>France</t>
        </is>
      </c>
      <c r="C34" t="inlineStr">
        <is>
          <t xml:space="preserve"> Montana </t>
        </is>
      </c>
      <c r="D34" t="inlineStr">
        <is>
          <t xml:space="preserve"> Medium </t>
        </is>
      </c>
      <c r="E34" t="n">
        <v>1857</v>
      </c>
      <c r="F34" t="n">
        <v>5</v>
      </c>
      <c r="G34" t="n">
        <v>125</v>
      </c>
      <c r="H34" t="n">
        <v>232125</v>
      </c>
      <c r="I34" t="n">
        <v>20891.25</v>
      </c>
      <c r="J34" t="n">
        <v>211233.75</v>
      </c>
      <c r="K34" t="n">
        <v>222840</v>
      </c>
      <c r="L34" t="n">
        <v>-11606.25</v>
      </c>
      <c r="M34" s="1" t="n">
        <v>41285</v>
      </c>
      <c r="N34" t="n">
        <v>11</v>
      </c>
      <c r="O34" t="inlineStr">
        <is>
          <t xml:space="preserve"> November </t>
        </is>
      </c>
      <c r="P34" t="n">
        <v>2013</v>
      </c>
      <c r="Q34" t="n">
        <v>0</v>
      </c>
      <c r="R34" t="n">
        <v>-0.05494505494505494</v>
      </c>
      <c r="S34" t="n">
        <v>1.054945054945055</v>
      </c>
      <c r="T34" t="n">
        <v>0.0989010989010989</v>
      </c>
      <c r="U34" t="n">
        <v>113.75</v>
      </c>
      <c r="V34" t="n">
        <v>-6.25</v>
      </c>
      <c r="W34" t="n">
        <v>1</v>
      </c>
    </row>
    <row r="35">
      <c r="A35" t="inlineStr">
        <is>
          <t>Enterprise</t>
        </is>
      </c>
      <c r="B35" t="inlineStr">
        <is>
          <t>Germany</t>
        </is>
      </c>
      <c r="C35" t="inlineStr">
        <is>
          <t xml:space="preserve"> Montana </t>
        </is>
      </c>
      <c r="D35" t="inlineStr">
        <is>
          <t xml:space="preserve"> Medium </t>
        </is>
      </c>
      <c r="E35" t="n">
        <v>2500</v>
      </c>
      <c r="F35" t="n">
        <v>5</v>
      </c>
      <c r="G35" t="n">
        <v>125</v>
      </c>
      <c r="H35" t="n">
        <v>312500</v>
      </c>
      <c r="I35" t="n">
        <v>21875</v>
      </c>
      <c r="J35" t="n">
        <v>290625</v>
      </c>
      <c r="K35" t="n">
        <v>300000</v>
      </c>
      <c r="L35" t="n">
        <v>-9375</v>
      </c>
      <c r="M35" s="1" t="n">
        <v>41285</v>
      </c>
      <c r="N35" t="n">
        <v>11</v>
      </c>
      <c r="O35" t="inlineStr">
        <is>
          <t xml:space="preserve"> November </t>
        </is>
      </c>
      <c r="P35" t="n">
        <v>2013</v>
      </c>
      <c r="Q35" t="n">
        <v>0</v>
      </c>
      <c r="R35" t="n">
        <v>-0.03225806451612903</v>
      </c>
      <c r="S35" t="n">
        <v>1.032258064516129</v>
      </c>
      <c r="T35" t="n">
        <v>0.07526881720430108</v>
      </c>
      <c r="U35" t="n">
        <v>116.25</v>
      </c>
      <c r="V35" t="n">
        <v>-3.75</v>
      </c>
      <c r="W35" t="n">
        <v>1</v>
      </c>
    </row>
    <row r="36">
      <c r="A36" t="inlineStr">
        <is>
          <t>Enterprise</t>
        </is>
      </c>
      <c r="B36" t="inlineStr">
        <is>
          <t>United States of America</t>
        </is>
      </c>
      <c r="C36" t="inlineStr">
        <is>
          <t xml:space="preserve"> Montana </t>
        </is>
      </c>
      <c r="D36" t="inlineStr">
        <is>
          <t xml:space="preserve"> Medium </t>
        </is>
      </c>
      <c r="E36" t="n">
        <v>3627</v>
      </c>
      <c r="F36" t="n">
        <v>5</v>
      </c>
      <c r="G36" t="n">
        <v>125</v>
      </c>
      <c r="H36" t="n">
        <v>453375</v>
      </c>
      <c r="I36" t="n">
        <v>22668.75</v>
      </c>
      <c r="J36" t="n">
        <v>430706.25</v>
      </c>
      <c r="K36" t="n">
        <v>435240</v>
      </c>
      <c r="L36" t="n">
        <v>-4533.75</v>
      </c>
      <c r="M36" s="1" t="n">
        <v>41646</v>
      </c>
      <c r="N36" t="n">
        <v>7</v>
      </c>
      <c r="O36" t="inlineStr">
        <is>
          <t xml:space="preserve"> July </t>
        </is>
      </c>
      <c r="P36" t="n">
        <v>2014</v>
      </c>
      <c r="Q36" t="n">
        <v>0</v>
      </c>
      <c r="R36" t="n">
        <v>-0.01052631578947368</v>
      </c>
      <c r="S36" t="n">
        <v>1.010526315789474</v>
      </c>
      <c r="T36" t="n">
        <v>0.05263157894736842</v>
      </c>
      <c r="U36" t="n">
        <v>118.75</v>
      </c>
      <c r="V36" t="n">
        <v>-1.25</v>
      </c>
      <c r="W36" t="n">
        <v>1</v>
      </c>
    </row>
    <row r="37">
      <c r="A37" t="inlineStr">
        <is>
          <t>Enterprise</t>
        </is>
      </c>
      <c r="B37" t="inlineStr">
        <is>
          <t>Germany</t>
        </is>
      </c>
      <c r="C37" t="inlineStr">
        <is>
          <t xml:space="preserve"> Montana </t>
        </is>
      </c>
      <c r="D37" t="inlineStr">
        <is>
          <t xml:space="preserve"> Low </t>
        </is>
      </c>
      <c r="E37" t="n">
        <v>1706</v>
      </c>
      <c r="F37" t="n">
        <v>5</v>
      </c>
      <c r="G37" t="n">
        <v>125</v>
      </c>
      <c r="H37" t="n">
        <v>213250</v>
      </c>
      <c r="I37" t="n">
        <v>6397.5</v>
      </c>
      <c r="J37" t="n">
        <v>206852.5</v>
      </c>
      <c r="K37" t="n">
        <v>204720</v>
      </c>
      <c r="L37" t="n">
        <v>2132.5</v>
      </c>
      <c r="M37" s="1" t="n">
        <v>41651</v>
      </c>
      <c r="N37" t="n">
        <v>12</v>
      </c>
      <c r="O37" t="inlineStr">
        <is>
          <t xml:space="preserve"> December </t>
        </is>
      </c>
      <c r="P37" t="n">
        <v>2014</v>
      </c>
      <c r="Q37" t="n">
        <v>0</v>
      </c>
      <c r="R37" t="n">
        <v>0.01030927835051546</v>
      </c>
      <c r="S37" t="n">
        <v>0.9896907216494846</v>
      </c>
      <c r="T37" t="n">
        <v>0.03092783505154639</v>
      </c>
      <c r="U37" t="n">
        <v>121.25</v>
      </c>
      <c r="V37" t="n">
        <v>1.25</v>
      </c>
      <c r="W37" t="n">
        <v>0</v>
      </c>
    </row>
    <row r="38">
      <c r="A38" t="inlineStr">
        <is>
          <t>Enterprise</t>
        </is>
      </c>
      <c r="B38" t="inlineStr">
        <is>
          <t>United States of America</t>
        </is>
      </c>
      <c r="C38" t="inlineStr">
        <is>
          <t xml:space="preserve"> Montana </t>
        </is>
      </c>
      <c r="D38" t="inlineStr">
        <is>
          <t xml:space="preserve"> Low </t>
        </is>
      </c>
      <c r="E38" t="n">
        <v>663</v>
      </c>
      <c r="F38" t="n">
        <v>5</v>
      </c>
      <c r="G38" t="n">
        <v>125</v>
      </c>
      <c r="H38" t="n">
        <v>82875</v>
      </c>
      <c r="I38" t="n">
        <v>828.75</v>
      </c>
      <c r="J38" t="n">
        <v>82046.25</v>
      </c>
      <c r="K38" t="n">
        <v>79560</v>
      </c>
      <c r="L38" t="n">
        <v>2486.25</v>
      </c>
      <c r="M38" s="1" t="n">
        <v>41284</v>
      </c>
      <c r="N38" t="n">
        <v>10</v>
      </c>
      <c r="O38" t="inlineStr">
        <is>
          <t xml:space="preserve"> October </t>
        </is>
      </c>
      <c r="P38" t="n">
        <v>2013</v>
      </c>
      <c r="Q38" t="n">
        <v>0</v>
      </c>
      <c r="R38" t="n">
        <v>0.0303030303030303</v>
      </c>
      <c r="S38" t="n">
        <v>0.9696969696969697</v>
      </c>
      <c r="T38" t="n">
        <v>0.0101010101010101</v>
      </c>
      <c r="U38" t="n">
        <v>123.75</v>
      </c>
      <c r="V38" t="n">
        <v>3.75</v>
      </c>
      <c r="W38" t="n">
        <v>0</v>
      </c>
    </row>
    <row r="39">
      <c r="A39" t="inlineStr">
        <is>
          <t>Enterprise</t>
        </is>
      </c>
      <c r="B39" t="inlineStr">
        <is>
          <t>France</t>
        </is>
      </c>
      <c r="C39" t="inlineStr">
        <is>
          <t xml:space="preserve"> Montana </t>
        </is>
      </c>
      <c r="D39" t="inlineStr">
        <is>
          <t xml:space="preserve"> Low </t>
        </is>
      </c>
      <c r="E39" t="n">
        <v>1287</v>
      </c>
      <c r="F39" t="n">
        <v>5</v>
      </c>
      <c r="G39" t="n">
        <v>125</v>
      </c>
      <c r="H39" t="n">
        <v>160875</v>
      </c>
      <c r="I39" t="n">
        <v>4826.25</v>
      </c>
      <c r="J39" t="n">
        <v>156048.75</v>
      </c>
      <c r="K39" t="n">
        <v>154440</v>
      </c>
      <c r="L39" t="n">
        <v>1608.75</v>
      </c>
      <c r="M39" s="1" t="n">
        <v>41651</v>
      </c>
      <c r="N39" t="n">
        <v>12</v>
      </c>
      <c r="O39" t="inlineStr">
        <is>
          <t xml:space="preserve"> December </t>
        </is>
      </c>
      <c r="P39" t="n">
        <v>2014</v>
      </c>
      <c r="Q39" t="n">
        <v>0</v>
      </c>
      <c r="R39" t="n">
        <v>0.01030927835051546</v>
      </c>
      <c r="S39" t="n">
        <v>0.9896907216494846</v>
      </c>
      <c r="T39" t="n">
        <v>0.03092783505154639</v>
      </c>
      <c r="U39" t="n">
        <v>121.25</v>
      </c>
      <c r="V39" t="n">
        <v>1.25</v>
      </c>
      <c r="W39" t="n">
        <v>0</v>
      </c>
    </row>
    <row r="40">
      <c r="A40" t="inlineStr">
        <is>
          <t>Enterprise</t>
        </is>
      </c>
      <c r="B40" t="inlineStr">
        <is>
          <t>Mexico</t>
        </is>
      </c>
      <c r="C40" t="inlineStr">
        <is>
          <t xml:space="preserve"> Montana </t>
        </is>
      </c>
      <c r="D40" t="inlineStr">
        <is>
          <t xml:space="preserve"> Low </t>
        </is>
      </c>
      <c r="E40" t="n">
        <v>1660</v>
      </c>
      <c r="F40" t="n">
        <v>5</v>
      </c>
      <c r="G40" t="n">
        <v>125</v>
      </c>
      <c r="H40" t="n">
        <v>207500</v>
      </c>
      <c r="I40" t="n">
        <v>4150</v>
      </c>
      <c r="J40" t="n">
        <v>203350</v>
      </c>
      <c r="K40" t="n">
        <v>199200</v>
      </c>
      <c r="L40" t="n">
        <v>4150</v>
      </c>
      <c r="M40" s="1" t="n">
        <v>41285</v>
      </c>
      <c r="N40" t="n">
        <v>11</v>
      </c>
      <c r="O40" t="inlineStr">
        <is>
          <t xml:space="preserve"> November </t>
        </is>
      </c>
      <c r="P40" t="n">
        <v>2013</v>
      </c>
      <c r="Q40" t="n">
        <v>0</v>
      </c>
      <c r="R40" t="n">
        <v>0.02040816326530612</v>
      </c>
      <c r="S40" t="n">
        <v>0.9795918367346939</v>
      </c>
      <c r="T40" t="n">
        <v>0.02040816326530612</v>
      </c>
      <c r="U40" t="n">
        <v>122.5</v>
      </c>
      <c r="V40" t="n">
        <v>2.5</v>
      </c>
      <c r="W40" t="n">
        <v>0</v>
      </c>
    </row>
    <row r="41">
      <c r="A41" t="inlineStr">
        <is>
          <t>Enterprise</t>
        </is>
      </c>
      <c r="B41" t="inlineStr">
        <is>
          <t>Germany</t>
        </is>
      </c>
      <c r="C41" t="inlineStr">
        <is>
          <t xml:space="preserve"> Paseo </t>
        </is>
      </c>
      <c r="D41" t="inlineStr">
        <is>
          <t xml:space="preserve"> High </t>
        </is>
      </c>
      <c r="E41" t="n">
        <v>1085</v>
      </c>
      <c r="F41" t="n">
        <v>10</v>
      </c>
      <c r="G41" t="n">
        <v>125</v>
      </c>
      <c r="H41" t="n">
        <v>135625</v>
      </c>
      <c r="I41" t="n">
        <v>20343.75</v>
      </c>
      <c r="J41" t="n">
        <v>115281.25</v>
      </c>
      <c r="K41" t="n">
        <v>130200</v>
      </c>
      <c r="L41" t="n">
        <v>-14918.75</v>
      </c>
      <c r="M41" s="1" t="n">
        <v>41649</v>
      </c>
      <c r="N41" t="n">
        <v>10</v>
      </c>
      <c r="O41" t="inlineStr">
        <is>
          <t xml:space="preserve"> October </t>
        </is>
      </c>
      <c r="P41" t="n">
        <v>2014</v>
      </c>
      <c r="Q41" t="n">
        <v>0</v>
      </c>
      <c r="R41" t="n">
        <v>-0.1294117647058824</v>
      </c>
      <c r="S41" t="n">
        <v>1.129411764705882</v>
      </c>
      <c r="T41" t="n">
        <v>0.1764705882352941</v>
      </c>
      <c r="U41" t="n">
        <v>106.25</v>
      </c>
      <c r="V41" t="n">
        <v>-13.75</v>
      </c>
      <c r="W41" t="n">
        <v>1</v>
      </c>
    </row>
    <row r="42">
      <c r="A42" t="inlineStr">
        <is>
          <t>Enterprise</t>
        </is>
      </c>
      <c r="B42" t="inlineStr">
        <is>
          <t>Canada</t>
        </is>
      </c>
      <c r="C42" t="inlineStr">
        <is>
          <t xml:space="preserve"> Paseo </t>
        </is>
      </c>
      <c r="D42" t="inlineStr">
        <is>
          <t xml:space="preserve"> High </t>
        </is>
      </c>
      <c r="E42" t="n">
        <v>1583</v>
      </c>
      <c r="F42" t="n">
        <v>10</v>
      </c>
      <c r="G42" t="n">
        <v>125</v>
      </c>
      <c r="H42" t="n">
        <v>197875</v>
      </c>
      <c r="I42" t="n">
        <v>25723.75</v>
      </c>
      <c r="J42" t="n">
        <v>172151.25</v>
      </c>
      <c r="K42" t="n">
        <v>189960</v>
      </c>
      <c r="L42" t="n">
        <v>-17808.75</v>
      </c>
      <c r="M42" s="1" t="n">
        <v>41645</v>
      </c>
      <c r="N42" t="n">
        <v>6</v>
      </c>
      <c r="O42" t="inlineStr">
        <is>
          <t xml:space="preserve"> June </t>
        </is>
      </c>
      <c r="P42" t="n">
        <v>2014</v>
      </c>
      <c r="Q42" t="n">
        <v>0</v>
      </c>
      <c r="R42" t="n">
        <v>-0.103448275862069</v>
      </c>
      <c r="S42" t="n">
        <v>1.103448275862069</v>
      </c>
      <c r="T42" t="n">
        <v>0.1494252873563219</v>
      </c>
      <c r="U42" t="n">
        <v>108.75</v>
      </c>
      <c r="V42" t="n">
        <v>-11.25</v>
      </c>
      <c r="W42" t="n">
        <v>1</v>
      </c>
    </row>
    <row r="43">
      <c r="A43" t="inlineStr">
        <is>
          <t>Enterprise</t>
        </is>
      </c>
      <c r="B43" t="inlineStr">
        <is>
          <t>Mexico</t>
        </is>
      </c>
      <c r="C43" t="inlineStr">
        <is>
          <t xml:space="preserve"> Paseo </t>
        </is>
      </c>
      <c r="D43" t="inlineStr">
        <is>
          <t xml:space="preserve"> High </t>
        </is>
      </c>
      <c r="E43" t="n">
        <v>2156</v>
      </c>
      <c r="F43" t="n">
        <v>10</v>
      </c>
      <c r="G43" t="n">
        <v>125</v>
      </c>
      <c r="H43" t="n">
        <v>269500</v>
      </c>
      <c r="I43" t="n">
        <v>32340</v>
      </c>
      <c r="J43" t="n">
        <v>237160</v>
      </c>
      <c r="K43" t="n">
        <v>258720</v>
      </c>
      <c r="L43" t="n">
        <v>-21560</v>
      </c>
      <c r="M43" s="1" t="n">
        <v>41649</v>
      </c>
      <c r="N43" t="n">
        <v>10</v>
      </c>
      <c r="O43" t="inlineStr">
        <is>
          <t xml:space="preserve"> October </t>
        </is>
      </c>
      <c r="P43" t="n">
        <v>2014</v>
      </c>
      <c r="Q43" t="n">
        <v>0</v>
      </c>
      <c r="R43" t="n">
        <v>-0.09090909090909091</v>
      </c>
      <c r="S43" t="n">
        <v>1.090909090909091</v>
      </c>
      <c r="T43" t="n">
        <v>0.1363636363636364</v>
      </c>
      <c r="U43" t="n">
        <v>110</v>
      </c>
      <c r="V43" t="n">
        <v>-10</v>
      </c>
      <c r="W43" t="n">
        <v>1</v>
      </c>
    </row>
    <row r="44">
      <c r="A44" t="inlineStr">
        <is>
          <t>Enterprise</t>
        </is>
      </c>
      <c r="B44" t="inlineStr">
        <is>
          <t>France</t>
        </is>
      </c>
      <c r="C44" t="inlineStr">
        <is>
          <t xml:space="preserve"> Paseo </t>
        </is>
      </c>
      <c r="D44" t="inlineStr">
        <is>
          <t xml:space="preserve"> High </t>
        </is>
      </c>
      <c r="E44" t="n">
        <v>2441</v>
      </c>
      <c r="F44" t="n">
        <v>10</v>
      </c>
      <c r="G44" t="n">
        <v>125</v>
      </c>
      <c r="H44" t="n">
        <v>305125</v>
      </c>
      <c r="I44" t="n">
        <v>33563.75</v>
      </c>
      <c r="J44" t="n">
        <v>271561.25</v>
      </c>
      <c r="K44" t="n">
        <v>292920</v>
      </c>
      <c r="L44" t="n">
        <v>-21358.75</v>
      </c>
      <c r="M44" s="1" t="n">
        <v>41649</v>
      </c>
      <c r="N44" t="n">
        <v>10</v>
      </c>
      <c r="O44" t="inlineStr">
        <is>
          <t xml:space="preserve"> October </t>
        </is>
      </c>
      <c r="P44" t="n">
        <v>2014</v>
      </c>
      <c r="Q44" t="n">
        <v>0</v>
      </c>
      <c r="R44" t="n">
        <v>-0.07865168539325842</v>
      </c>
      <c r="S44" t="n">
        <v>1.078651685393258</v>
      </c>
      <c r="T44" t="n">
        <v>0.1235955056179775</v>
      </c>
      <c r="U44" t="n">
        <v>111.25</v>
      </c>
      <c r="V44" t="n">
        <v>-8.75</v>
      </c>
      <c r="W44" t="n">
        <v>1</v>
      </c>
    </row>
    <row r="45">
      <c r="A45" t="inlineStr">
        <is>
          <t>Enterprise</t>
        </is>
      </c>
      <c r="B45" t="inlineStr">
        <is>
          <t>United States of America</t>
        </is>
      </c>
      <c r="C45" t="inlineStr">
        <is>
          <t xml:space="preserve"> Paseo </t>
        </is>
      </c>
      <c r="D45" t="inlineStr">
        <is>
          <t xml:space="preserve"> Medium </t>
        </is>
      </c>
      <c r="E45" t="n">
        <v>2797</v>
      </c>
      <c r="F45" t="n">
        <v>10</v>
      </c>
      <c r="G45" t="n">
        <v>125</v>
      </c>
      <c r="H45" t="n">
        <v>349625</v>
      </c>
      <c r="I45" t="n">
        <v>31466.25</v>
      </c>
      <c r="J45" t="n">
        <v>318158.75</v>
      </c>
      <c r="K45" t="n">
        <v>335640</v>
      </c>
      <c r="L45" t="n">
        <v>-17481.25</v>
      </c>
      <c r="M45" s="1" t="n">
        <v>41651</v>
      </c>
      <c r="N45" t="n">
        <v>12</v>
      </c>
      <c r="O45" t="inlineStr">
        <is>
          <t xml:space="preserve"> December </t>
        </is>
      </c>
      <c r="P45" t="n">
        <v>2014</v>
      </c>
      <c r="Q45" t="n">
        <v>0</v>
      </c>
      <c r="R45" t="n">
        <v>-0.05494505494505494</v>
      </c>
      <c r="S45" t="n">
        <v>1.054945054945055</v>
      </c>
      <c r="T45" t="n">
        <v>0.0989010989010989</v>
      </c>
      <c r="U45" t="n">
        <v>113.75</v>
      </c>
      <c r="V45" t="n">
        <v>-6.25</v>
      </c>
      <c r="W45" t="n">
        <v>1</v>
      </c>
    </row>
    <row r="46">
      <c r="A46" t="inlineStr">
        <is>
          <t>Enterprise</t>
        </is>
      </c>
      <c r="B46" t="inlineStr">
        <is>
          <t>Mexico</t>
        </is>
      </c>
      <c r="C46" t="inlineStr">
        <is>
          <t xml:space="preserve"> Paseo </t>
        </is>
      </c>
      <c r="D46" t="inlineStr">
        <is>
          <t xml:space="preserve"> Medium </t>
        </is>
      </c>
      <c r="E46" t="n">
        <v>1114</v>
      </c>
      <c r="F46" t="n">
        <v>10</v>
      </c>
      <c r="G46" t="n">
        <v>125</v>
      </c>
      <c r="H46" t="n">
        <v>139250</v>
      </c>
      <c r="I46" t="n">
        <v>11140</v>
      </c>
      <c r="J46" t="n">
        <v>128110</v>
      </c>
      <c r="K46" t="n">
        <v>133680</v>
      </c>
      <c r="L46" t="n">
        <v>-5570</v>
      </c>
      <c r="M46" s="1" t="n">
        <v>41642</v>
      </c>
      <c r="N46" t="n">
        <v>3</v>
      </c>
      <c r="O46" t="inlineStr">
        <is>
          <t xml:space="preserve"> March </t>
        </is>
      </c>
      <c r="P46" t="n">
        <v>2014</v>
      </c>
      <c r="Q46" t="n">
        <v>0</v>
      </c>
      <c r="R46" t="n">
        <v>-0.04347826086956522</v>
      </c>
      <c r="S46" t="n">
        <v>1.043478260869565</v>
      </c>
      <c r="T46" t="n">
        <v>0.08695652173913043</v>
      </c>
      <c r="U46" t="n">
        <v>115</v>
      </c>
      <c r="V46" t="n">
        <v>-5</v>
      </c>
      <c r="W46" t="n">
        <v>1</v>
      </c>
    </row>
    <row r="47">
      <c r="A47" t="inlineStr">
        <is>
          <t>Enterprise</t>
        </is>
      </c>
      <c r="B47" t="inlineStr">
        <is>
          <t>Germany</t>
        </is>
      </c>
      <c r="C47" t="inlineStr">
        <is>
          <t xml:space="preserve"> Paseo </t>
        </is>
      </c>
      <c r="D47" t="inlineStr">
        <is>
          <t xml:space="preserve"> Medium </t>
        </is>
      </c>
      <c r="E47" t="n">
        <v>3513</v>
      </c>
      <c r="F47" t="n">
        <v>10</v>
      </c>
      <c r="G47" t="n">
        <v>125</v>
      </c>
      <c r="H47" t="n">
        <v>439125</v>
      </c>
      <c r="I47" t="n">
        <v>30738.75</v>
      </c>
      <c r="J47" t="n">
        <v>408386.25</v>
      </c>
      <c r="K47" t="n">
        <v>421560</v>
      </c>
      <c r="L47" t="n">
        <v>-13173.75</v>
      </c>
      <c r="M47" s="1" t="n">
        <v>41646</v>
      </c>
      <c r="N47" t="n">
        <v>7</v>
      </c>
      <c r="O47" t="inlineStr">
        <is>
          <t xml:space="preserve"> July </t>
        </is>
      </c>
      <c r="P47" t="n">
        <v>2014</v>
      </c>
      <c r="Q47" t="n">
        <v>0</v>
      </c>
      <c r="R47" t="n">
        <v>-0.03225806451612903</v>
      </c>
      <c r="S47" t="n">
        <v>1.032258064516129</v>
      </c>
      <c r="T47" t="n">
        <v>0.07526881720430108</v>
      </c>
      <c r="U47" t="n">
        <v>116.25</v>
      </c>
      <c r="V47" t="n">
        <v>-3.75</v>
      </c>
      <c r="W47" t="n">
        <v>1</v>
      </c>
    </row>
    <row r="48">
      <c r="A48" t="inlineStr">
        <is>
          <t>Enterprise</t>
        </is>
      </c>
      <c r="B48" t="inlineStr">
        <is>
          <t>France</t>
        </is>
      </c>
      <c r="C48" t="inlineStr">
        <is>
          <t xml:space="preserve"> Paseo </t>
        </is>
      </c>
      <c r="D48" t="inlineStr">
        <is>
          <t xml:space="preserve"> Medium </t>
        </is>
      </c>
      <c r="E48" t="n">
        <v>704</v>
      </c>
      <c r="F48" t="n">
        <v>10</v>
      </c>
      <c r="G48" t="n">
        <v>125</v>
      </c>
      <c r="H48" t="n">
        <v>88000</v>
      </c>
      <c r="I48" t="n">
        <v>4400</v>
      </c>
      <c r="J48" t="n">
        <v>83600</v>
      </c>
      <c r="K48" t="n">
        <v>84480</v>
      </c>
      <c r="L48" t="n">
        <v>-880</v>
      </c>
      <c r="M48" s="1" t="n">
        <v>41284</v>
      </c>
      <c r="N48" t="n">
        <v>10</v>
      </c>
      <c r="O48" t="inlineStr">
        <is>
          <t xml:space="preserve"> October </t>
        </is>
      </c>
      <c r="P48" t="n">
        <v>2013</v>
      </c>
      <c r="Q48" t="n">
        <v>0</v>
      </c>
      <c r="R48" t="n">
        <v>-0.01052631578947368</v>
      </c>
      <c r="S48" t="n">
        <v>1.010526315789474</v>
      </c>
      <c r="T48" t="n">
        <v>0.05263157894736842</v>
      </c>
      <c r="U48" t="n">
        <v>118.75</v>
      </c>
      <c r="V48" t="n">
        <v>-1.25</v>
      </c>
      <c r="W48" t="n">
        <v>1</v>
      </c>
    </row>
    <row r="49">
      <c r="A49" t="inlineStr">
        <is>
          <t>Enterprise</t>
        </is>
      </c>
      <c r="B49" t="inlineStr">
        <is>
          <t>United States of America</t>
        </is>
      </c>
      <c r="C49" t="inlineStr">
        <is>
          <t xml:space="preserve"> Paseo </t>
        </is>
      </c>
      <c r="D49" t="inlineStr">
        <is>
          <t xml:space="preserve"> Medium </t>
        </is>
      </c>
      <c r="E49" t="n">
        <v>861</v>
      </c>
      <c r="F49" t="n">
        <v>10</v>
      </c>
      <c r="G49" t="n">
        <v>125</v>
      </c>
      <c r="H49" t="n">
        <v>107625</v>
      </c>
      <c r="I49" t="n">
        <v>5381.25</v>
      </c>
      <c r="J49" t="n">
        <v>102243.75</v>
      </c>
      <c r="K49" t="n">
        <v>103320</v>
      </c>
      <c r="L49" t="n">
        <v>-1076.25</v>
      </c>
      <c r="M49" s="1" t="n">
        <v>41649</v>
      </c>
      <c r="N49" t="n">
        <v>10</v>
      </c>
      <c r="O49" t="inlineStr">
        <is>
          <t xml:space="preserve"> October </t>
        </is>
      </c>
      <c r="P49" t="n">
        <v>2014</v>
      </c>
      <c r="Q49" t="n">
        <v>0</v>
      </c>
      <c r="R49" t="n">
        <v>-0.01052631578947368</v>
      </c>
      <c r="S49" t="n">
        <v>1.010526315789474</v>
      </c>
      <c r="T49" t="n">
        <v>0.05263157894736842</v>
      </c>
      <c r="U49" t="n">
        <v>118.75</v>
      </c>
      <c r="V49" t="n">
        <v>-1.25</v>
      </c>
      <c r="W49" t="n">
        <v>1</v>
      </c>
    </row>
    <row r="50">
      <c r="A50" t="inlineStr">
        <is>
          <t>Enterprise</t>
        </is>
      </c>
      <c r="B50" t="inlineStr">
        <is>
          <t>France</t>
        </is>
      </c>
      <c r="C50" t="inlineStr">
        <is>
          <t xml:space="preserve"> Paseo </t>
        </is>
      </c>
      <c r="D50" t="inlineStr">
        <is>
          <t xml:space="preserve"> Medium </t>
        </is>
      </c>
      <c r="E50" t="n">
        <v>2385</v>
      </c>
      <c r="F50" t="n">
        <v>10</v>
      </c>
      <c r="G50" t="n">
        <v>125</v>
      </c>
      <c r="H50" t="n">
        <v>298125</v>
      </c>
      <c r="I50" t="n">
        <v>14906.25</v>
      </c>
      <c r="J50" t="n">
        <v>283218.75</v>
      </c>
      <c r="K50" t="n">
        <v>286200</v>
      </c>
      <c r="L50" t="n">
        <v>-2981.25</v>
      </c>
      <c r="M50" s="1" t="n">
        <v>41642</v>
      </c>
      <c r="N50" t="n">
        <v>3</v>
      </c>
      <c r="O50" t="inlineStr">
        <is>
          <t xml:space="preserve"> March </t>
        </is>
      </c>
      <c r="P50" t="n">
        <v>2014</v>
      </c>
      <c r="Q50" t="n">
        <v>0</v>
      </c>
      <c r="R50" t="n">
        <v>-0.01052631578947368</v>
      </c>
      <c r="S50" t="n">
        <v>1.010526315789474</v>
      </c>
      <c r="T50" t="n">
        <v>0.05263157894736842</v>
      </c>
      <c r="U50" t="n">
        <v>118.75</v>
      </c>
      <c r="V50" t="n">
        <v>-1.25</v>
      </c>
      <c r="W50" t="n">
        <v>1</v>
      </c>
    </row>
    <row r="51">
      <c r="A51" t="inlineStr">
        <is>
          <t>Enterprise</t>
        </is>
      </c>
      <c r="B51" t="inlineStr">
        <is>
          <t>United States of America</t>
        </is>
      </c>
      <c r="C51" t="inlineStr">
        <is>
          <t xml:space="preserve"> Paseo </t>
        </is>
      </c>
      <c r="D51" t="inlineStr">
        <is>
          <t xml:space="preserve"> Medium </t>
        </is>
      </c>
      <c r="E51" t="n">
        <v>2992</v>
      </c>
      <c r="F51" t="n">
        <v>10</v>
      </c>
      <c r="G51" t="n">
        <v>125</v>
      </c>
      <c r="H51" t="n">
        <v>374000</v>
      </c>
      <c r="I51" t="n">
        <v>18700</v>
      </c>
      <c r="J51" t="n">
        <v>355300</v>
      </c>
      <c r="K51" t="n">
        <v>359040</v>
      </c>
      <c r="L51" t="n">
        <v>-3740</v>
      </c>
      <c r="M51" s="1" t="n">
        <v>41642</v>
      </c>
      <c r="N51" t="n">
        <v>3</v>
      </c>
      <c r="O51" t="inlineStr">
        <is>
          <t xml:space="preserve"> March </t>
        </is>
      </c>
      <c r="P51" t="n">
        <v>2014</v>
      </c>
      <c r="Q51" t="n">
        <v>0</v>
      </c>
      <c r="R51" t="n">
        <v>-0.01052631578947368</v>
      </c>
      <c r="S51" t="n">
        <v>1.010526315789474</v>
      </c>
      <c r="T51" t="n">
        <v>0.05263157894736842</v>
      </c>
      <c r="U51" t="n">
        <v>118.75</v>
      </c>
      <c r="V51" t="n">
        <v>-1.25</v>
      </c>
      <c r="W51" t="n">
        <v>1</v>
      </c>
    </row>
    <row r="52">
      <c r="A52" t="inlineStr">
        <is>
          <t>Enterprise</t>
        </is>
      </c>
      <c r="B52" t="inlineStr">
        <is>
          <t>Germany</t>
        </is>
      </c>
      <c r="C52" t="inlineStr">
        <is>
          <t xml:space="preserve"> Paseo </t>
        </is>
      </c>
      <c r="D52" t="inlineStr">
        <is>
          <t xml:space="preserve"> Low </t>
        </is>
      </c>
      <c r="E52" t="n">
        <v>1706</v>
      </c>
      <c r="F52" t="n">
        <v>10</v>
      </c>
      <c r="G52" t="n">
        <v>125</v>
      </c>
      <c r="H52" t="n">
        <v>213250</v>
      </c>
      <c r="I52" t="n">
        <v>6397.5</v>
      </c>
      <c r="J52" t="n">
        <v>206852.5</v>
      </c>
      <c r="K52" t="n">
        <v>204720</v>
      </c>
      <c r="L52" t="n">
        <v>2132.5</v>
      </c>
      <c r="M52" s="1" t="n">
        <v>41651</v>
      </c>
      <c r="N52" t="n">
        <v>12</v>
      </c>
      <c r="O52" t="inlineStr">
        <is>
          <t xml:space="preserve"> December </t>
        </is>
      </c>
      <c r="P52" t="n">
        <v>2014</v>
      </c>
      <c r="Q52" t="n">
        <v>0</v>
      </c>
      <c r="R52" t="n">
        <v>0.01030927835051546</v>
      </c>
      <c r="S52" t="n">
        <v>0.9896907216494846</v>
      </c>
      <c r="T52" t="n">
        <v>0.03092783505154639</v>
      </c>
      <c r="U52" t="n">
        <v>121.25</v>
      </c>
      <c r="V52" t="n">
        <v>1.25</v>
      </c>
      <c r="W52" t="n">
        <v>0</v>
      </c>
    </row>
    <row r="53">
      <c r="A53" t="inlineStr">
        <is>
          <t>Enterprise</t>
        </is>
      </c>
      <c r="B53" t="inlineStr">
        <is>
          <t>France</t>
        </is>
      </c>
      <c r="C53" t="inlineStr">
        <is>
          <t xml:space="preserve"> Paseo </t>
        </is>
      </c>
      <c r="D53" t="inlineStr">
        <is>
          <t xml:space="preserve"> Low </t>
        </is>
      </c>
      <c r="E53" t="n">
        <v>1287</v>
      </c>
      <c r="F53" t="n">
        <v>10</v>
      </c>
      <c r="G53" t="n">
        <v>125</v>
      </c>
      <c r="H53" t="n">
        <v>160875</v>
      </c>
      <c r="I53" t="n">
        <v>4826.25</v>
      </c>
      <c r="J53" t="n">
        <v>156048.75</v>
      </c>
      <c r="K53" t="n">
        <v>154440</v>
      </c>
      <c r="L53" t="n">
        <v>1608.75</v>
      </c>
      <c r="M53" s="1" t="n">
        <v>41651</v>
      </c>
      <c r="N53" t="n">
        <v>12</v>
      </c>
      <c r="O53" t="inlineStr">
        <is>
          <t xml:space="preserve"> December </t>
        </is>
      </c>
      <c r="P53" t="n">
        <v>2014</v>
      </c>
      <c r="Q53" t="n">
        <v>0</v>
      </c>
      <c r="R53" t="n">
        <v>0.01030927835051546</v>
      </c>
      <c r="S53" t="n">
        <v>0.9896907216494846</v>
      </c>
      <c r="T53" t="n">
        <v>0.03092783505154639</v>
      </c>
      <c r="U53" t="n">
        <v>121.25</v>
      </c>
      <c r="V53" t="n">
        <v>1.25</v>
      </c>
      <c r="W53" t="n">
        <v>0</v>
      </c>
    </row>
    <row r="54">
      <c r="A54" t="inlineStr">
        <is>
          <t>Enterprise</t>
        </is>
      </c>
      <c r="B54" t="inlineStr">
        <is>
          <t>Canada</t>
        </is>
      </c>
      <c r="C54" t="inlineStr">
        <is>
          <t xml:space="preserve"> Paseo </t>
        </is>
      </c>
      <c r="D54" t="inlineStr">
        <is>
          <t xml:space="preserve"> Low </t>
        </is>
      </c>
      <c r="E54" t="n">
        <v>2009</v>
      </c>
      <c r="F54" t="n">
        <v>10</v>
      </c>
      <c r="G54" t="n">
        <v>125</v>
      </c>
      <c r="H54" t="n">
        <v>251125</v>
      </c>
      <c r="I54" t="n">
        <v>7533.75</v>
      </c>
      <c r="J54" t="n">
        <v>243591.25</v>
      </c>
      <c r="K54" t="n">
        <v>241080</v>
      </c>
      <c r="L54" t="n">
        <v>2511.25</v>
      </c>
      <c r="M54" s="1" t="n">
        <v>41649</v>
      </c>
      <c r="N54" t="n">
        <v>10</v>
      </c>
      <c r="O54" t="inlineStr">
        <is>
          <t xml:space="preserve"> October </t>
        </is>
      </c>
      <c r="P54" t="n">
        <v>2014</v>
      </c>
      <c r="Q54" t="n">
        <v>0</v>
      </c>
      <c r="R54" t="n">
        <v>0.01030927835051546</v>
      </c>
      <c r="S54" t="n">
        <v>0.9896907216494846</v>
      </c>
      <c r="T54" t="n">
        <v>0.03092783505154639</v>
      </c>
      <c r="U54" t="n">
        <v>121.25</v>
      </c>
      <c r="V54" t="n">
        <v>1.25</v>
      </c>
      <c r="W54" t="n">
        <v>0</v>
      </c>
    </row>
    <row r="55">
      <c r="A55" t="inlineStr">
        <is>
          <t>Enterprise</t>
        </is>
      </c>
      <c r="B55" t="inlineStr">
        <is>
          <t>Germany</t>
        </is>
      </c>
      <c r="C55" t="inlineStr">
        <is>
          <t xml:space="preserve"> Paseo </t>
        </is>
      </c>
      <c r="D55" t="inlineStr">
        <is>
          <t xml:space="preserve"> Low </t>
        </is>
      </c>
      <c r="E55" t="n">
        <v>1570</v>
      </c>
      <c r="F55" t="n">
        <v>10</v>
      </c>
      <c r="G55" t="n">
        <v>125</v>
      </c>
      <c r="H55" t="n">
        <v>196250</v>
      </c>
      <c r="I55" t="n">
        <v>5887.5</v>
      </c>
      <c r="J55" t="n">
        <v>190362.5</v>
      </c>
      <c r="K55" t="n">
        <v>188400</v>
      </c>
      <c r="L55" t="n">
        <v>1962.5</v>
      </c>
      <c r="M55" s="1" t="n">
        <v>41645</v>
      </c>
      <c r="N55" t="n">
        <v>6</v>
      </c>
      <c r="O55" t="inlineStr">
        <is>
          <t xml:space="preserve"> June </t>
        </is>
      </c>
      <c r="P55" t="n">
        <v>2014</v>
      </c>
      <c r="Q55" t="n">
        <v>0</v>
      </c>
      <c r="R55" t="n">
        <v>0.01030927835051546</v>
      </c>
      <c r="S55" t="n">
        <v>0.9896907216494846</v>
      </c>
      <c r="T55" t="n">
        <v>0.03092783505154639</v>
      </c>
      <c r="U55" t="n">
        <v>121.25</v>
      </c>
      <c r="V55" t="n">
        <v>1.25</v>
      </c>
      <c r="W55" t="n">
        <v>0</v>
      </c>
    </row>
    <row r="56">
      <c r="A56" t="inlineStr">
        <is>
          <t>Enterprise</t>
        </is>
      </c>
      <c r="B56" t="inlineStr">
        <is>
          <t>Canada</t>
        </is>
      </c>
      <c r="C56" t="inlineStr">
        <is>
          <t xml:space="preserve"> Paseo </t>
        </is>
      </c>
      <c r="D56" t="inlineStr">
        <is>
          <t xml:space="preserve"> Low </t>
        </is>
      </c>
      <c r="E56" t="n">
        <v>1774</v>
      </c>
      <c r="F56" t="n">
        <v>10</v>
      </c>
      <c r="G56" t="n">
        <v>125</v>
      </c>
      <c r="H56" t="n">
        <v>221750</v>
      </c>
      <c r="I56" t="n">
        <v>6652.5</v>
      </c>
      <c r="J56" t="n">
        <v>215097.5</v>
      </c>
      <c r="K56" t="n">
        <v>212880</v>
      </c>
      <c r="L56" t="n">
        <v>2217.5</v>
      </c>
      <c r="M56" s="1" t="n">
        <v>41642</v>
      </c>
      <c r="N56" t="n">
        <v>3</v>
      </c>
      <c r="O56" t="inlineStr">
        <is>
          <t xml:space="preserve"> March </t>
        </is>
      </c>
      <c r="P56" t="n">
        <v>2014</v>
      </c>
      <c r="Q56" t="n">
        <v>0</v>
      </c>
      <c r="R56" t="n">
        <v>0.01030927835051546</v>
      </c>
      <c r="S56" t="n">
        <v>0.9896907216494846</v>
      </c>
      <c r="T56" t="n">
        <v>0.03092783505154639</v>
      </c>
      <c r="U56" t="n">
        <v>121.25</v>
      </c>
      <c r="V56" t="n">
        <v>1.25</v>
      </c>
      <c r="W56" t="n">
        <v>0</v>
      </c>
    </row>
    <row r="57">
      <c r="A57" t="inlineStr">
        <is>
          <t>Enterprise</t>
        </is>
      </c>
      <c r="B57" t="inlineStr">
        <is>
          <t>United States of America</t>
        </is>
      </c>
      <c r="C57" t="inlineStr">
        <is>
          <t xml:space="preserve"> Paseo </t>
        </is>
      </c>
      <c r="D57" t="inlineStr">
        <is>
          <t xml:space="preserve"> Low </t>
        </is>
      </c>
      <c r="E57" t="n">
        <v>727</v>
      </c>
      <c r="F57" t="n">
        <v>10</v>
      </c>
      <c r="G57" t="n">
        <v>125</v>
      </c>
      <c r="H57" t="n">
        <v>90875</v>
      </c>
      <c r="I57" t="n">
        <v>908.75</v>
      </c>
      <c r="J57" t="n">
        <v>89966.25</v>
      </c>
      <c r="K57" t="n">
        <v>87240</v>
      </c>
      <c r="L57" t="n">
        <v>2726.25</v>
      </c>
      <c r="M57" s="1" t="n">
        <v>41645</v>
      </c>
      <c r="N57" t="n">
        <v>6</v>
      </c>
      <c r="O57" t="inlineStr">
        <is>
          <t xml:space="preserve"> June </t>
        </is>
      </c>
      <c r="P57" t="n">
        <v>2014</v>
      </c>
      <c r="Q57" t="n">
        <v>0</v>
      </c>
      <c r="R57" t="n">
        <v>0.0303030303030303</v>
      </c>
      <c r="S57" t="n">
        <v>0.9696969696969697</v>
      </c>
      <c r="T57" t="n">
        <v>0.0101010101010101</v>
      </c>
      <c r="U57" t="n">
        <v>123.75</v>
      </c>
      <c r="V57" t="n">
        <v>3.75</v>
      </c>
      <c r="W57" t="n">
        <v>0</v>
      </c>
    </row>
    <row r="58">
      <c r="A58" t="inlineStr">
        <is>
          <t>Enterprise</t>
        </is>
      </c>
      <c r="B58" t="inlineStr">
        <is>
          <t>France</t>
        </is>
      </c>
      <c r="C58" t="inlineStr">
        <is>
          <t xml:space="preserve"> Paseo </t>
        </is>
      </c>
      <c r="D58" t="inlineStr">
        <is>
          <t xml:space="preserve"> Low </t>
        </is>
      </c>
      <c r="E58" t="n">
        <v>787</v>
      </c>
      <c r="F58" t="n">
        <v>10</v>
      </c>
      <c r="G58" t="n">
        <v>125</v>
      </c>
      <c r="H58" t="n">
        <v>98375</v>
      </c>
      <c r="I58" t="n">
        <v>983.75</v>
      </c>
      <c r="J58" t="n">
        <v>97391.25</v>
      </c>
      <c r="K58" t="n">
        <v>94440</v>
      </c>
      <c r="L58" t="n">
        <v>2951.25</v>
      </c>
      <c r="M58" s="1" t="n">
        <v>41645</v>
      </c>
      <c r="N58" t="n">
        <v>6</v>
      </c>
      <c r="O58" t="inlineStr">
        <is>
          <t xml:space="preserve"> June </t>
        </is>
      </c>
      <c r="P58" t="n">
        <v>2014</v>
      </c>
      <c r="Q58" t="n">
        <v>0</v>
      </c>
      <c r="R58" t="n">
        <v>0.0303030303030303</v>
      </c>
      <c r="S58" t="n">
        <v>0.9696969696969697</v>
      </c>
      <c r="T58" t="n">
        <v>0.0101010101010101</v>
      </c>
      <c r="U58" t="n">
        <v>123.75</v>
      </c>
      <c r="V58" t="n">
        <v>3.75</v>
      </c>
      <c r="W58" t="n">
        <v>0</v>
      </c>
    </row>
    <row r="59">
      <c r="A59" t="inlineStr">
        <is>
          <t>Enterprise</t>
        </is>
      </c>
      <c r="B59" t="inlineStr">
        <is>
          <t>Mexico</t>
        </is>
      </c>
      <c r="C59" t="inlineStr">
        <is>
          <t xml:space="preserve"> Paseo </t>
        </is>
      </c>
      <c r="D59" t="inlineStr">
        <is>
          <t xml:space="preserve"> Low </t>
        </is>
      </c>
      <c r="E59" t="n">
        <v>1823</v>
      </c>
      <c r="F59" t="n">
        <v>10</v>
      </c>
      <c r="G59" t="n">
        <v>125</v>
      </c>
      <c r="H59" t="n">
        <v>227875</v>
      </c>
      <c r="I59" t="n">
        <v>2278.75</v>
      </c>
      <c r="J59" t="n">
        <v>225596.25</v>
      </c>
      <c r="K59" t="n">
        <v>218760</v>
      </c>
      <c r="L59" t="n">
        <v>6836.25</v>
      </c>
      <c r="M59" s="1" t="n">
        <v>41646</v>
      </c>
      <c r="N59" t="n">
        <v>7</v>
      </c>
      <c r="O59" t="inlineStr">
        <is>
          <t xml:space="preserve"> July </t>
        </is>
      </c>
      <c r="P59" t="n">
        <v>2014</v>
      </c>
      <c r="Q59" t="n">
        <v>0</v>
      </c>
      <c r="R59" t="n">
        <v>0.0303030303030303</v>
      </c>
      <c r="S59" t="n">
        <v>0.9696969696969697</v>
      </c>
      <c r="T59" t="n">
        <v>0.0101010101010101</v>
      </c>
      <c r="U59" t="n">
        <v>123.75</v>
      </c>
      <c r="V59" t="n">
        <v>3.75</v>
      </c>
      <c r="W59" t="n">
        <v>0</v>
      </c>
    </row>
    <row r="60">
      <c r="A60" t="inlineStr">
        <is>
          <t>Enterprise</t>
        </is>
      </c>
      <c r="B60" t="inlineStr">
        <is>
          <t>Canada</t>
        </is>
      </c>
      <c r="C60" t="inlineStr">
        <is>
          <t xml:space="preserve"> Paseo </t>
        </is>
      </c>
      <c r="D60" t="inlineStr">
        <is>
          <t xml:space="preserve"> Low </t>
        </is>
      </c>
      <c r="E60" t="n">
        <v>2729</v>
      </c>
      <c r="F60" t="n">
        <v>10</v>
      </c>
      <c r="G60" t="n">
        <v>125</v>
      </c>
      <c r="H60" t="n">
        <v>341125</v>
      </c>
      <c r="I60" t="n">
        <v>6822.5</v>
      </c>
      <c r="J60" t="n">
        <v>334302.5</v>
      </c>
      <c r="K60" t="n">
        <v>327480</v>
      </c>
      <c r="L60" t="n">
        <v>6822.5</v>
      </c>
      <c r="M60" s="1" t="n">
        <v>41651</v>
      </c>
      <c r="N60" t="n">
        <v>12</v>
      </c>
      <c r="O60" t="inlineStr">
        <is>
          <t xml:space="preserve"> December </t>
        </is>
      </c>
      <c r="P60" t="n">
        <v>2014</v>
      </c>
      <c r="Q60" t="n">
        <v>0</v>
      </c>
      <c r="R60" t="n">
        <v>0.02040816326530612</v>
      </c>
      <c r="S60" t="n">
        <v>0.9795918367346939</v>
      </c>
      <c r="T60" t="n">
        <v>0.02040816326530612</v>
      </c>
      <c r="U60" t="n">
        <v>122.5</v>
      </c>
      <c r="V60" t="n">
        <v>2.5</v>
      </c>
      <c r="W60" t="n">
        <v>0</v>
      </c>
    </row>
    <row r="61">
      <c r="A61" t="inlineStr">
        <is>
          <t>Enterprise</t>
        </is>
      </c>
      <c r="B61" t="inlineStr">
        <is>
          <t>Mexico</t>
        </is>
      </c>
      <c r="C61" t="inlineStr">
        <is>
          <t xml:space="preserve"> Paseo </t>
        </is>
      </c>
      <c r="D61" t="inlineStr">
        <is>
          <t xml:space="preserve"> Low </t>
        </is>
      </c>
      <c r="E61" t="n">
        <v>2145</v>
      </c>
      <c r="F61" t="n">
        <v>10</v>
      </c>
      <c r="G61" t="n">
        <v>125</v>
      </c>
      <c r="H61" t="n">
        <v>268125</v>
      </c>
      <c r="I61" t="n">
        <v>5362.5</v>
      </c>
      <c r="J61" t="n">
        <v>262762.5</v>
      </c>
      <c r="K61" t="n">
        <v>257400</v>
      </c>
      <c r="L61" t="n">
        <v>5362.5</v>
      </c>
      <c r="M61" s="1" t="n">
        <v>41284</v>
      </c>
      <c r="N61" t="n">
        <v>10</v>
      </c>
      <c r="O61" t="inlineStr">
        <is>
          <t xml:space="preserve"> October </t>
        </is>
      </c>
      <c r="P61" t="n">
        <v>2013</v>
      </c>
      <c r="Q61" t="n">
        <v>0</v>
      </c>
      <c r="R61" t="n">
        <v>0.02040816326530612</v>
      </c>
      <c r="S61" t="n">
        <v>0.9795918367346939</v>
      </c>
      <c r="T61" t="n">
        <v>0.02040816326530612</v>
      </c>
      <c r="U61" t="n">
        <v>122.5</v>
      </c>
      <c r="V61" t="n">
        <v>2.5</v>
      </c>
      <c r="W61" t="n">
        <v>0</v>
      </c>
    </row>
    <row r="62">
      <c r="A62" t="inlineStr">
        <is>
          <t>Enterprise</t>
        </is>
      </c>
      <c r="B62" t="inlineStr">
        <is>
          <t>Germany</t>
        </is>
      </c>
      <c r="C62" t="inlineStr">
        <is>
          <t xml:space="preserve"> Paseo </t>
        </is>
      </c>
      <c r="D62" t="inlineStr">
        <is>
          <t xml:space="preserve"> Low </t>
        </is>
      </c>
      <c r="E62" t="n">
        <v>809</v>
      </c>
      <c r="F62" t="n">
        <v>10</v>
      </c>
      <c r="G62" t="n">
        <v>125</v>
      </c>
      <c r="H62" t="n">
        <v>101125</v>
      </c>
      <c r="I62" t="n">
        <v>2022.5</v>
      </c>
      <c r="J62" t="n">
        <v>99102.5</v>
      </c>
      <c r="K62" t="n">
        <v>97080</v>
      </c>
      <c r="L62" t="n">
        <v>2022.5</v>
      </c>
      <c r="M62" s="1" t="n">
        <v>41284</v>
      </c>
      <c r="N62" t="n">
        <v>10</v>
      </c>
      <c r="O62" t="inlineStr">
        <is>
          <t xml:space="preserve"> October </t>
        </is>
      </c>
      <c r="P62" t="n">
        <v>2013</v>
      </c>
      <c r="Q62" t="n">
        <v>0</v>
      </c>
      <c r="R62" t="n">
        <v>0.02040816326530612</v>
      </c>
      <c r="S62" t="n">
        <v>0.9795918367346939</v>
      </c>
      <c r="T62" t="n">
        <v>0.02040816326530612</v>
      </c>
      <c r="U62" t="n">
        <v>122.5</v>
      </c>
      <c r="V62" t="n">
        <v>2.5</v>
      </c>
      <c r="W62" t="n">
        <v>0</v>
      </c>
    </row>
    <row r="63">
      <c r="A63" t="inlineStr">
        <is>
          <t>Enterprise</t>
        </is>
      </c>
      <c r="B63" t="inlineStr">
        <is>
          <t>Mexico</t>
        </is>
      </c>
      <c r="C63" t="inlineStr">
        <is>
          <t xml:space="preserve"> Paseo </t>
        </is>
      </c>
      <c r="D63" t="inlineStr">
        <is>
          <t xml:space="preserve"> Low </t>
        </is>
      </c>
      <c r="E63" t="n">
        <v>662</v>
      </c>
      <c r="F63" t="n">
        <v>10</v>
      </c>
      <c r="G63" t="n">
        <v>125</v>
      </c>
      <c r="H63" t="n">
        <v>82750</v>
      </c>
      <c r="I63" t="n">
        <v>1655</v>
      </c>
      <c r="J63" t="n">
        <v>81095</v>
      </c>
      <c r="K63" t="n">
        <v>79440</v>
      </c>
      <c r="L63" t="n">
        <v>1655</v>
      </c>
      <c r="M63" s="1" t="n">
        <v>41645</v>
      </c>
      <c r="N63" t="n">
        <v>6</v>
      </c>
      <c r="O63" t="inlineStr">
        <is>
          <t xml:space="preserve"> June </t>
        </is>
      </c>
      <c r="P63" t="n">
        <v>2014</v>
      </c>
      <c r="Q63" t="n">
        <v>0</v>
      </c>
      <c r="R63" t="n">
        <v>0.02040816326530612</v>
      </c>
      <c r="S63" t="n">
        <v>0.9795918367346939</v>
      </c>
      <c r="T63" t="n">
        <v>0.02040816326530612</v>
      </c>
      <c r="U63" t="n">
        <v>122.5</v>
      </c>
      <c r="V63" t="n">
        <v>2.5</v>
      </c>
      <c r="W63" t="n">
        <v>0</v>
      </c>
    </row>
    <row r="64">
      <c r="A64" t="inlineStr">
        <is>
          <t>Enterprise</t>
        </is>
      </c>
      <c r="B64" t="inlineStr">
        <is>
          <t>United States of America</t>
        </is>
      </c>
      <c r="C64" t="inlineStr">
        <is>
          <t xml:space="preserve"> Velo </t>
        </is>
      </c>
      <c r="D64" t="inlineStr">
        <is>
          <t xml:space="preserve"> High </t>
        </is>
      </c>
      <c r="E64" t="n">
        <v>2438</v>
      </c>
      <c r="F64" t="n">
        <v>120</v>
      </c>
      <c r="G64" t="n">
        <v>125</v>
      </c>
      <c r="H64" t="n">
        <v>304750</v>
      </c>
      <c r="I64" t="n">
        <v>45712.5</v>
      </c>
      <c r="J64" t="n">
        <v>259037.5</v>
      </c>
      <c r="K64" t="n">
        <v>292560</v>
      </c>
      <c r="L64" t="n">
        <v>-33522.5</v>
      </c>
      <c r="M64" s="1" t="n">
        <v>41286</v>
      </c>
      <c r="N64" t="n">
        <v>12</v>
      </c>
      <c r="O64" t="inlineStr">
        <is>
          <t xml:space="preserve"> December </t>
        </is>
      </c>
      <c r="P64" t="n">
        <v>2013</v>
      </c>
      <c r="Q64" t="n">
        <v>0</v>
      </c>
      <c r="R64" t="n">
        <v>-0.1294117647058824</v>
      </c>
      <c r="S64" t="n">
        <v>1.129411764705882</v>
      </c>
      <c r="T64" t="n">
        <v>0.1764705882352941</v>
      </c>
      <c r="U64" t="n">
        <v>106.25</v>
      </c>
      <c r="V64" t="n">
        <v>-13.75</v>
      </c>
      <c r="W64" t="n">
        <v>1</v>
      </c>
    </row>
    <row r="65">
      <c r="A65" t="inlineStr">
        <is>
          <t>Enterprise</t>
        </is>
      </c>
      <c r="B65" t="inlineStr">
        <is>
          <t>France</t>
        </is>
      </c>
      <c r="C65" t="inlineStr">
        <is>
          <t xml:space="preserve"> Velo </t>
        </is>
      </c>
      <c r="D65" t="inlineStr">
        <is>
          <t xml:space="preserve"> High </t>
        </is>
      </c>
      <c r="E65" t="n">
        <v>663</v>
      </c>
      <c r="F65" t="n">
        <v>120</v>
      </c>
      <c r="G65" t="n">
        <v>125</v>
      </c>
      <c r="H65" t="n">
        <v>82875</v>
      </c>
      <c r="I65" t="n">
        <v>12431.25</v>
      </c>
      <c r="J65" t="n">
        <v>70443.75</v>
      </c>
      <c r="K65" t="n">
        <v>79560</v>
      </c>
      <c r="L65" t="n">
        <v>-9116.25</v>
      </c>
      <c r="M65" s="1" t="n">
        <v>41648</v>
      </c>
      <c r="N65" t="n">
        <v>9</v>
      </c>
      <c r="O65" t="inlineStr">
        <is>
          <t xml:space="preserve"> September </t>
        </is>
      </c>
      <c r="P65" t="n">
        <v>2014</v>
      </c>
      <c r="Q65" t="n">
        <v>0</v>
      </c>
      <c r="R65" t="n">
        <v>-0.1294117647058824</v>
      </c>
      <c r="S65" t="n">
        <v>1.129411764705882</v>
      </c>
      <c r="T65" t="n">
        <v>0.1764705882352941</v>
      </c>
      <c r="U65" t="n">
        <v>106.25</v>
      </c>
      <c r="V65" t="n">
        <v>-13.75</v>
      </c>
      <c r="W65" t="n">
        <v>1</v>
      </c>
    </row>
    <row r="66">
      <c r="A66" t="inlineStr">
        <is>
          <t>Enterprise</t>
        </is>
      </c>
      <c r="B66" t="inlineStr">
        <is>
          <t>Mexico</t>
        </is>
      </c>
      <c r="C66" t="inlineStr">
        <is>
          <t xml:space="preserve"> Velo </t>
        </is>
      </c>
      <c r="D66" t="inlineStr">
        <is>
          <t xml:space="preserve"> High </t>
        </is>
      </c>
      <c r="E66" t="n">
        <v>1575</v>
      </c>
      <c r="F66" t="n">
        <v>120</v>
      </c>
      <c r="G66" t="n">
        <v>125</v>
      </c>
      <c r="H66" t="n">
        <v>196875</v>
      </c>
      <c r="I66" t="n">
        <v>27562.5</v>
      </c>
      <c r="J66" t="n">
        <v>169312.5</v>
      </c>
      <c r="K66" t="n">
        <v>189000</v>
      </c>
      <c r="L66" t="n">
        <v>-19687.5</v>
      </c>
      <c r="M66" s="1" t="n">
        <v>41641</v>
      </c>
      <c r="N66" t="n">
        <v>2</v>
      </c>
      <c r="O66" t="inlineStr">
        <is>
          <t xml:space="preserve"> February </t>
        </is>
      </c>
      <c r="P66" t="n">
        <v>2014</v>
      </c>
      <c r="Q66" t="n">
        <v>0</v>
      </c>
      <c r="R66" t="n">
        <v>-0.1162790697674419</v>
      </c>
      <c r="S66" t="n">
        <v>1.116279069767442</v>
      </c>
      <c r="T66" t="n">
        <v>0.1627906976744186</v>
      </c>
      <c r="U66" t="n">
        <v>107.5</v>
      </c>
      <c r="V66" t="n">
        <v>-12.5</v>
      </c>
      <c r="W66" t="n">
        <v>1</v>
      </c>
    </row>
    <row r="67">
      <c r="A67" t="inlineStr">
        <is>
          <t>Enterprise</t>
        </is>
      </c>
      <c r="B67" t="inlineStr">
        <is>
          <t>Canada</t>
        </is>
      </c>
      <c r="C67" t="inlineStr">
        <is>
          <t xml:space="preserve"> Velo </t>
        </is>
      </c>
      <c r="D67" t="inlineStr">
        <is>
          <t xml:space="preserve"> High </t>
        </is>
      </c>
      <c r="E67" t="n">
        <v>1916</v>
      </c>
      <c r="F67" t="n">
        <v>120</v>
      </c>
      <c r="G67" t="n">
        <v>125</v>
      </c>
      <c r="H67" t="n">
        <v>239500</v>
      </c>
      <c r="I67" t="n">
        <v>23950</v>
      </c>
      <c r="J67" t="n">
        <v>215550</v>
      </c>
      <c r="K67" t="n">
        <v>229920</v>
      </c>
      <c r="L67" t="n">
        <v>-14370</v>
      </c>
      <c r="M67" s="1" t="n">
        <v>41286</v>
      </c>
      <c r="N67" t="n">
        <v>12</v>
      </c>
      <c r="O67" t="inlineStr">
        <is>
          <t xml:space="preserve"> December </t>
        </is>
      </c>
      <c r="P67" t="n">
        <v>2013</v>
      </c>
      <c r="Q67" t="n">
        <v>0</v>
      </c>
      <c r="R67" t="n">
        <v>-0.06666666666666667</v>
      </c>
      <c r="S67" t="n">
        <v>1.066666666666667</v>
      </c>
      <c r="T67" t="n">
        <v>0.1111111111111111</v>
      </c>
      <c r="U67" t="n">
        <v>112.5</v>
      </c>
      <c r="V67" t="n">
        <v>-7.5</v>
      </c>
      <c r="W67" t="n">
        <v>1</v>
      </c>
    </row>
    <row r="68">
      <c r="A68" t="inlineStr">
        <is>
          <t>Enterprise</t>
        </is>
      </c>
      <c r="B68" t="inlineStr">
        <is>
          <t>United States of America</t>
        </is>
      </c>
      <c r="C68" t="inlineStr">
        <is>
          <t xml:space="preserve"> Velo </t>
        </is>
      </c>
      <c r="D68" t="inlineStr">
        <is>
          <t xml:space="preserve"> High </t>
        </is>
      </c>
      <c r="E68" t="n">
        <v>1596</v>
      </c>
      <c r="F68" t="n">
        <v>120</v>
      </c>
      <c r="G68" t="n">
        <v>125</v>
      </c>
      <c r="H68" t="n">
        <v>199500</v>
      </c>
      <c r="I68" t="n">
        <v>19950</v>
      </c>
      <c r="J68" t="n">
        <v>179550</v>
      </c>
      <c r="K68" t="n">
        <v>191520</v>
      </c>
      <c r="L68" t="n">
        <v>-11970</v>
      </c>
      <c r="M68" s="1" t="n">
        <v>41648</v>
      </c>
      <c r="N68" t="n">
        <v>9</v>
      </c>
      <c r="O68" t="inlineStr">
        <is>
          <t xml:space="preserve"> September </t>
        </is>
      </c>
      <c r="P68" t="n">
        <v>2014</v>
      </c>
      <c r="Q68" t="n">
        <v>0</v>
      </c>
      <c r="R68" t="n">
        <v>-0.06666666666666667</v>
      </c>
      <c r="S68" t="n">
        <v>1.066666666666667</v>
      </c>
      <c r="T68" t="n">
        <v>0.1111111111111111</v>
      </c>
      <c r="U68" t="n">
        <v>112.5</v>
      </c>
      <c r="V68" t="n">
        <v>-7.5</v>
      </c>
      <c r="W68" t="n">
        <v>1</v>
      </c>
    </row>
    <row r="69">
      <c r="A69" t="inlineStr">
        <is>
          <t>Enterprise</t>
        </is>
      </c>
      <c r="B69" t="inlineStr">
        <is>
          <t>France</t>
        </is>
      </c>
      <c r="C69" t="inlineStr">
        <is>
          <t xml:space="preserve"> Velo </t>
        </is>
      </c>
      <c r="D69" t="inlineStr">
        <is>
          <t xml:space="preserve"> None </t>
        </is>
      </c>
      <c r="E69" t="n">
        <v>1804</v>
      </c>
      <c r="F69" t="n">
        <v>120</v>
      </c>
      <c r="G69" t="n">
        <v>125</v>
      </c>
      <c r="H69" t="n">
        <v>225500</v>
      </c>
      <c r="I69" t="n">
        <v>0</v>
      </c>
      <c r="J69" t="n">
        <v>225500</v>
      </c>
      <c r="K69" t="n">
        <v>216480</v>
      </c>
      <c r="L69" t="n">
        <v>9020</v>
      </c>
      <c r="M69" s="1" t="n">
        <v>41641</v>
      </c>
      <c r="N69" t="n">
        <v>2</v>
      </c>
      <c r="O69" t="inlineStr">
        <is>
          <t xml:space="preserve"> February </t>
        </is>
      </c>
      <c r="P69" t="n">
        <v>2014</v>
      </c>
      <c r="Q69" t="n">
        <v>0</v>
      </c>
      <c r="R69" t="n">
        <v>0.04</v>
      </c>
      <c r="S69" t="n">
        <v>0.96</v>
      </c>
      <c r="T69" t="n">
        <v>0</v>
      </c>
      <c r="U69" t="n">
        <v>125</v>
      </c>
      <c r="V69" t="n">
        <v>5</v>
      </c>
      <c r="W69" t="n">
        <v>0</v>
      </c>
    </row>
    <row r="70">
      <c r="A70" t="inlineStr">
        <is>
          <t>Enterprise</t>
        </is>
      </c>
      <c r="B70" t="inlineStr">
        <is>
          <t>United States of America</t>
        </is>
      </c>
      <c r="C70" t="inlineStr">
        <is>
          <t xml:space="preserve"> Velo </t>
        </is>
      </c>
      <c r="D70" t="inlineStr">
        <is>
          <t xml:space="preserve"> None </t>
        </is>
      </c>
      <c r="E70" t="n">
        <v>2821</v>
      </c>
      <c r="F70" t="n">
        <v>120</v>
      </c>
      <c r="G70" t="n">
        <v>125</v>
      </c>
      <c r="H70" t="n">
        <v>352625</v>
      </c>
      <c r="I70" t="n">
        <v>0</v>
      </c>
      <c r="J70" t="n">
        <v>352625</v>
      </c>
      <c r="K70" t="n">
        <v>338520</v>
      </c>
      <c r="L70" t="n">
        <v>14105</v>
      </c>
      <c r="M70" s="1" t="n">
        <v>41647</v>
      </c>
      <c r="N70" t="n">
        <v>8</v>
      </c>
      <c r="O70" t="inlineStr">
        <is>
          <t xml:space="preserve"> August </t>
        </is>
      </c>
      <c r="P70" t="n">
        <v>2014</v>
      </c>
      <c r="Q70" t="n">
        <v>0</v>
      </c>
      <c r="R70" t="n">
        <v>0.04</v>
      </c>
      <c r="S70" t="n">
        <v>0.96</v>
      </c>
      <c r="T70" t="n">
        <v>0</v>
      </c>
      <c r="U70" t="n">
        <v>125</v>
      </c>
      <c r="V70" t="n">
        <v>5</v>
      </c>
      <c r="W70" t="n">
        <v>0</v>
      </c>
    </row>
    <row r="71">
      <c r="A71" t="inlineStr">
        <is>
          <t>Enterprise</t>
        </is>
      </c>
      <c r="B71" t="inlineStr">
        <is>
          <t>Canada</t>
        </is>
      </c>
      <c r="C71" t="inlineStr">
        <is>
          <t xml:space="preserve"> Velo </t>
        </is>
      </c>
      <c r="D71" t="inlineStr">
        <is>
          <t xml:space="preserve"> None </t>
        </is>
      </c>
      <c r="E71" t="n">
        <v>345</v>
      </c>
      <c r="F71" t="n">
        <v>120</v>
      </c>
      <c r="G71" t="n">
        <v>125</v>
      </c>
      <c r="H71" t="n">
        <v>43125</v>
      </c>
      <c r="I71" t="n">
        <v>0</v>
      </c>
      <c r="J71" t="n">
        <v>43125</v>
      </c>
      <c r="K71" t="n">
        <v>41400</v>
      </c>
      <c r="L71" t="n">
        <v>1725</v>
      </c>
      <c r="M71" s="1" t="n">
        <v>41284</v>
      </c>
      <c r="N71" t="n">
        <v>10</v>
      </c>
      <c r="O71" t="inlineStr">
        <is>
          <t xml:space="preserve"> October </t>
        </is>
      </c>
      <c r="P71" t="n">
        <v>2013</v>
      </c>
      <c r="Q71" t="n">
        <v>0</v>
      </c>
      <c r="R71" t="n">
        <v>0.04</v>
      </c>
      <c r="S71" t="n">
        <v>0.96</v>
      </c>
      <c r="T71" t="n">
        <v>0</v>
      </c>
      <c r="U71" t="n">
        <v>125</v>
      </c>
      <c r="V71" t="n">
        <v>5</v>
      </c>
      <c r="W71" t="n">
        <v>0</v>
      </c>
    </row>
    <row r="72">
      <c r="A72" t="inlineStr">
        <is>
          <t>Enterprise</t>
        </is>
      </c>
      <c r="B72" t="inlineStr">
        <is>
          <t>Mexico</t>
        </is>
      </c>
      <c r="C72" t="inlineStr">
        <is>
          <t xml:space="preserve"> Velo </t>
        </is>
      </c>
      <c r="D72" t="inlineStr">
        <is>
          <t xml:space="preserve"> Medium </t>
        </is>
      </c>
      <c r="E72" t="n">
        <v>2110</v>
      </c>
      <c r="F72" t="n">
        <v>120</v>
      </c>
      <c r="G72" t="n">
        <v>125</v>
      </c>
      <c r="H72" t="n">
        <v>263750</v>
      </c>
      <c r="I72" t="n">
        <v>23737.5</v>
      </c>
      <c r="J72" t="n">
        <v>240012.5</v>
      </c>
      <c r="K72" t="n">
        <v>253200</v>
      </c>
      <c r="L72" t="n">
        <v>-13187.5</v>
      </c>
      <c r="M72" s="1" t="n">
        <v>41648</v>
      </c>
      <c r="N72" t="n">
        <v>9</v>
      </c>
      <c r="O72" t="inlineStr">
        <is>
          <t xml:space="preserve"> September </t>
        </is>
      </c>
      <c r="P72" t="n">
        <v>2014</v>
      </c>
      <c r="Q72" t="n">
        <v>0</v>
      </c>
      <c r="R72" t="n">
        <v>-0.05494505494505494</v>
      </c>
      <c r="S72" t="n">
        <v>1.054945054945055</v>
      </c>
      <c r="T72" t="n">
        <v>0.0989010989010989</v>
      </c>
      <c r="U72" t="n">
        <v>113.75</v>
      </c>
      <c r="V72" t="n">
        <v>-6.25</v>
      </c>
      <c r="W72" t="n">
        <v>1</v>
      </c>
    </row>
    <row r="73">
      <c r="A73" t="inlineStr">
        <is>
          <t>Enterprise</t>
        </is>
      </c>
      <c r="B73" t="inlineStr">
        <is>
          <t>Canada</t>
        </is>
      </c>
      <c r="C73" t="inlineStr">
        <is>
          <t xml:space="preserve"> Velo </t>
        </is>
      </c>
      <c r="D73" t="inlineStr">
        <is>
          <t xml:space="preserve"> Medium </t>
        </is>
      </c>
      <c r="E73" t="n">
        <v>567</v>
      </c>
      <c r="F73" t="n">
        <v>120</v>
      </c>
      <c r="G73" t="n">
        <v>125</v>
      </c>
      <c r="H73" t="n">
        <v>70875</v>
      </c>
      <c r="I73" t="n">
        <v>6378.75</v>
      </c>
      <c r="J73" t="n">
        <v>64496.25</v>
      </c>
      <c r="K73" t="n">
        <v>68040</v>
      </c>
      <c r="L73" t="n">
        <v>-3543.75</v>
      </c>
      <c r="M73" s="1" t="n">
        <v>41648</v>
      </c>
      <c r="N73" t="n">
        <v>9</v>
      </c>
      <c r="O73" t="inlineStr">
        <is>
          <t xml:space="preserve"> September </t>
        </is>
      </c>
      <c r="P73" t="n">
        <v>2014</v>
      </c>
      <c r="Q73" t="n">
        <v>0</v>
      </c>
      <c r="R73" t="n">
        <v>-0.05494505494505494</v>
      </c>
      <c r="S73" t="n">
        <v>1.054945054945055</v>
      </c>
      <c r="T73" t="n">
        <v>0.0989010989010989</v>
      </c>
      <c r="U73" t="n">
        <v>113.75</v>
      </c>
      <c r="V73" t="n">
        <v>-6.25</v>
      </c>
      <c r="W73" t="n">
        <v>1</v>
      </c>
    </row>
    <row r="74">
      <c r="A74" t="inlineStr">
        <is>
          <t>Enterprise</t>
        </is>
      </c>
      <c r="B74" t="inlineStr">
        <is>
          <t>Germany</t>
        </is>
      </c>
      <c r="C74" t="inlineStr">
        <is>
          <t xml:space="preserve"> Velo </t>
        </is>
      </c>
      <c r="D74" t="inlineStr">
        <is>
          <t xml:space="preserve"> Medium </t>
        </is>
      </c>
      <c r="E74" t="n">
        <v>2087</v>
      </c>
      <c r="F74" t="n">
        <v>120</v>
      </c>
      <c r="G74" t="n">
        <v>125</v>
      </c>
      <c r="H74" t="n">
        <v>260875</v>
      </c>
      <c r="I74" t="n">
        <v>18261.25</v>
      </c>
      <c r="J74" t="n">
        <v>242613.75</v>
      </c>
      <c r="K74" t="n">
        <v>250440</v>
      </c>
      <c r="L74" t="n">
        <v>-7826.25</v>
      </c>
      <c r="M74" s="1" t="n">
        <v>41648</v>
      </c>
      <c r="N74" t="n">
        <v>9</v>
      </c>
      <c r="O74" t="inlineStr">
        <is>
          <t xml:space="preserve"> September </t>
        </is>
      </c>
      <c r="P74" t="n">
        <v>2014</v>
      </c>
      <c r="Q74" t="n">
        <v>0</v>
      </c>
      <c r="R74" t="n">
        <v>-0.03225806451612903</v>
      </c>
      <c r="S74" t="n">
        <v>1.032258064516129</v>
      </c>
      <c r="T74" t="n">
        <v>0.07526881720430108</v>
      </c>
      <c r="U74" t="n">
        <v>116.25</v>
      </c>
      <c r="V74" t="n">
        <v>-3.75</v>
      </c>
      <c r="W74" t="n">
        <v>1</v>
      </c>
    </row>
    <row r="75">
      <c r="A75" t="inlineStr">
        <is>
          <t>Enterprise</t>
        </is>
      </c>
      <c r="B75" t="inlineStr">
        <is>
          <t>United States of America</t>
        </is>
      </c>
      <c r="C75" t="inlineStr">
        <is>
          <t xml:space="preserve"> Velo </t>
        </is>
      </c>
      <c r="D75" t="inlineStr">
        <is>
          <t xml:space="preserve"> Medium </t>
        </is>
      </c>
      <c r="E75" t="n">
        <v>2755</v>
      </c>
      <c r="F75" t="n">
        <v>120</v>
      </c>
      <c r="G75" t="n">
        <v>125</v>
      </c>
      <c r="H75" t="n">
        <v>344375</v>
      </c>
      <c r="I75" t="n">
        <v>20662.5</v>
      </c>
      <c r="J75" t="n">
        <v>323712.5</v>
      </c>
      <c r="K75" t="n">
        <v>330600</v>
      </c>
      <c r="L75" t="n">
        <v>-6887.5</v>
      </c>
      <c r="M75" s="1" t="n">
        <v>41641</v>
      </c>
      <c r="N75" t="n">
        <v>2</v>
      </c>
      <c r="O75" t="inlineStr">
        <is>
          <t xml:space="preserve"> February </t>
        </is>
      </c>
      <c r="P75" t="n">
        <v>2014</v>
      </c>
      <c r="Q75" t="n">
        <v>0</v>
      </c>
      <c r="R75" t="n">
        <v>-0.02127659574468085</v>
      </c>
      <c r="S75" t="n">
        <v>1.021276595744681</v>
      </c>
      <c r="T75" t="n">
        <v>0.06382978723404255</v>
      </c>
      <c r="U75" t="n">
        <v>117.5</v>
      </c>
      <c r="V75" t="n">
        <v>-2.5</v>
      </c>
      <c r="W75" t="n">
        <v>1</v>
      </c>
    </row>
    <row r="76">
      <c r="A76" t="inlineStr">
        <is>
          <t>Enterprise</t>
        </is>
      </c>
      <c r="B76" t="inlineStr">
        <is>
          <t>Canada</t>
        </is>
      </c>
      <c r="C76" t="inlineStr">
        <is>
          <t xml:space="preserve"> Velo </t>
        </is>
      </c>
      <c r="D76" t="inlineStr">
        <is>
          <t xml:space="preserve"> Medium </t>
        </is>
      </c>
      <c r="E76" t="n">
        <v>952</v>
      </c>
      <c r="F76" t="n">
        <v>120</v>
      </c>
      <c r="G76" t="n">
        <v>125</v>
      </c>
      <c r="H76" t="n">
        <v>119000</v>
      </c>
      <c r="I76" t="n">
        <v>7140</v>
      </c>
      <c r="J76" t="n">
        <v>111860</v>
      </c>
      <c r="K76" t="n">
        <v>114240</v>
      </c>
      <c r="L76" t="n">
        <v>-2380</v>
      </c>
      <c r="M76" s="1" t="n">
        <v>41641</v>
      </c>
      <c r="N76" t="n">
        <v>2</v>
      </c>
      <c r="O76" t="inlineStr">
        <is>
          <t xml:space="preserve"> February </t>
        </is>
      </c>
      <c r="P76" t="n">
        <v>2014</v>
      </c>
      <c r="Q76" t="n">
        <v>0</v>
      </c>
      <c r="R76" t="n">
        <v>-0.02127659574468085</v>
      </c>
      <c r="S76" t="n">
        <v>1.021276595744681</v>
      </c>
      <c r="T76" t="n">
        <v>0.06382978723404255</v>
      </c>
      <c r="U76" t="n">
        <v>117.5</v>
      </c>
      <c r="V76" t="n">
        <v>-2.5</v>
      </c>
      <c r="W76" t="n">
        <v>1</v>
      </c>
    </row>
    <row r="77">
      <c r="A77" t="inlineStr">
        <is>
          <t>Enterprise</t>
        </is>
      </c>
      <c r="B77" t="inlineStr">
        <is>
          <t>France</t>
        </is>
      </c>
      <c r="C77" t="inlineStr">
        <is>
          <t xml:space="preserve"> Velo </t>
        </is>
      </c>
      <c r="D77" t="inlineStr">
        <is>
          <t xml:space="preserve"> Medium </t>
        </is>
      </c>
      <c r="E77" t="n">
        <v>704</v>
      </c>
      <c r="F77" t="n">
        <v>120</v>
      </c>
      <c r="G77" t="n">
        <v>125</v>
      </c>
      <c r="H77" t="n">
        <v>88000</v>
      </c>
      <c r="I77" t="n">
        <v>4400</v>
      </c>
      <c r="J77" t="n">
        <v>83600</v>
      </c>
      <c r="K77" t="n">
        <v>84480</v>
      </c>
      <c r="L77" t="n">
        <v>-880</v>
      </c>
      <c r="M77" s="1" t="n">
        <v>41284</v>
      </c>
      <c r="N77" t="n">
        <v>10</v>
      </c>
      <c r="O77" t="inlineStr">
        <is>
          <t xml:space="preserve"> October </t>
        </is>
      </c>
      <c r="P77" t="n">
        <v>2013</v>
      </c>
      <c r="Q77" t="n">
        <v>0</v>
      </c>
      <c r="R77" t="n">
        <v>-0.01052631578947368</v>
      </c>
      <c r="S77" t="n">
        <v>1.010526315789474</v>
      </c>
      <c r="T77" t="n">
        <v>0.05263157894736842</v>
      </c>
      <c r="U77" t="n">
        <v>118.75</v>
      </c>
      <c r="V77" t="n">
        <v>-1.25</v>
      </c>
      <c r="W77" t="n">
        <v>1</v>
      </c>
    </row>
    <row r="78">
      <c r="A78" t="inlineStr">
        <is>
          <t>Enterprise</t>
        </is>
      </c>
      <c r="B78" t="inlineStr">
        <is>
          <t>United States of America</t>
        </is>
      </c>
      <c r="C78" t="inlineStr">
        <is>
          <t xml:space="preserve"> Velo </t>
        </is>
      </c>
      <c r="D78" t="inlineStr">
        <is>
          <t xml:space="preserve"> Medium </t>
        </is>
      </c>
      <c r="E78" t="n">
        <v>861</v>
      </c>
      <c r="F78" t="n">
        <v>120</v>
      </c>
      <c r="G78" t="n">
        <v>125</v>
      </c>
      <c r="H78" t="n">
        <v>107625</v>
      </c>
      <c r="I78" t="n">
        <v>5381.25</v>
      </c>
      <c r="J78" t="n">
        <v>102243.75</v>
      </c>
      <c r="K78" t="n">
        <v>103320</v>
      </c>
      <c r="L78" t="n">
        <v>-1076.25</v>
      </c>
      <c r="M78" s="1" t="n">
        <v>41649</v>
      </c>
      <c r="N78" t="n">
        <v>10</v>
      </c>
      <c r="O78" t="inlineStr">
        <is>
          <t xml:space="preserve"> October </t>
        </is>
      </c>
      <c r="P78" t="n">
        <v>2014</v>
      </c>
      <c r="Q78" t="n">
        <v>0</v>
      </c>
      <c r="R78" t="n">
        <v>-0.01052631578947368</v>
      </c>
      <c r="S78" t="n">
        <v>1.010526315789474</v>
      </c>
      <c r="T78" t="n">
        <v>0.05263157894736842</v>
      </c>
      <c r="U78" t="n">
        <v>118.75</v>
      </c>
      <c r="V78" t="n">
        <v>-1.25</v>
      </c>
      <c r="W78" t="n">
        <v>1</v>
      </c>
    </row>
    <row r="79">
      <c r="A79" t="inlineStr">
        <is>
          <t>Enterprise</t>
        </is>
      </c>
      <c r="B79" t="inlineStr">
        <is>
          <t>Germany</t>
        </is>
      </c>
      <c r="C79" t="inlineStr">
        <is>
          <t xml:space="preserve"> Velo </t>
        </is>
      </c>
      <c r="D79" t="inlineStr">
        <is>
          <t xml:space="preserve"> Medium </t>
        </is>
      </c>
      <c r="E79" t="n">
        <v>807</v>
      </c>
      <c r="F79" t="n">
        <v>120</v>
      </c>
      <c r="G79" t="n">
        <v>125</v>
      </c>
      <c r="H79" t="n">
        <v>100875</v>
      </c>
      <c r="I79" t="n">
        <v>5043.75</v>
      </c>
      <c r="J79" t="n">
        <v>95831.25</v>
      </c>
      <c r="K79" t="n">
        <v>96840</v>
      </c>
      <c r="L79" t="n">
        <v>-1008.75</v>
      </c>
      <c r="M79" s="1" t="n">
        <v>41641</v>
      </c>
      <c r="N79" t="n">
        <v>2</v>
      </c>
      <c r="O79" t="inlineStr">
        <is>
          <t xml:space="preserve"> February </t>
        </is>
      </c>
      <c r="P79" t="n">
        <v>2014</v>
      </c>
      <c r="Q79" t="n">
        <v>0</v>
      </c>
      <c r="R79" t="n">
        <v>-0.01052631578947368</v>
      </c>
      <c r="S79" t="n">
        <v>1.010526315789474</v>
      </c>
      <c r="T79" t="n">
        <v>0.05263157894736842</v>
      </c>
      <c r="U79" t="n">
        <v>118.75</v>
      </c>
      <c r="V79" t="n">
        <v>-1.25</v>
      </c>
      <c r="W79" t="n">
        <v>1</v>
      </c>
    </row>
    <row r="80">
      <c r="A80" t="inlineStr">
        <is>
          <t>Enterprise</t>
        </is>
      </c>
      <c r="B80" t="inlineStr">
        <is>
          <t>Canada</t>
        </is>
      </c>
      <c r="C80" t="inlineStr">
        <is>
          <t xml:space="preserve"> Velo </t>
        </is>
      </c>
      <c r="D80" t="inlineStr">
        <is>
          <t xml:space="preserve"> Low </t>
        </is>
      </c>
      <c r="E80" t="n">
        <v>2009</v>
      </c>
      <c r="F80" t="n">
        <v>120</v>
      </c>
      <c r="G80" t="n">
        <v>125</v>
      </c>
      <c r="H80" t="n">
        <v>251125</v>
      </c>
      <c r="I80" t="n">
        <v>7533.75</v>
      </c>
      <c r="J80" t="n">
        <v>243591.25</v>
      </c>
      <c r="K80" t="n">
        <v>241080</v>
      </c>
      <c r="L80" t="n">
        <v>2511.25</v>
      </c>
      <c r="M80" s="1" t="n">
        <v>41649</v>
      </c>
      <c r="N80" t="n">
        <v>10</v>
      </c>
      <c r="O80" t="inlineStr">
        <is>
          <t xml:space="preserve"> October </t>
        </is>
      </c>
      <c r="P80" t="n">
        <v>2014</v>
      </c>
      <c r="Q80" t="n">
        <v>0</v>
      </c>
      <c r="R80" t="n">
        <v>0.01030927835051546</v>
      </c>
      <c r="S80" t="n">
        <v>0.9896907216494846</v>
      </c>
      <c r="T80" t="n">
        <v>0.03092783505154639</v>
      </c>
      <c r="U80" t="n">
        <v>121.25</v>
      </c>
      <c r="V80" t="n">
        <v>1.25</v>
      </c>
      <c r="W80" t="n">
        <v>0</v>
      </c>
    </row>
    <row r="81">
      <c r="A81" t="inlineStr">
        <is>
          <t>Enterprise</t>
        </is>
      </c>
      <c r="B81" t="inlineStr">
        <is>
          <t>Mexico</t>
        </is>
      </c>
      <c r="C81" t="inlineStr">
        <is>
          <t xml:space="preserve"> Velo </t>
        </is>
      </c>
      <c r="D81" t="inlineStr">
        <is>
          <t xml:space="preserve"> Low </t>
        </is>
      </c>
      <c r="E81" t="n">
        <v>2145</v>
      </c>
      <c r="F81" t="n">
        <v>120</v>
      </c>
      <c r="G81" t="n">
        <v>125</v>
      </c>
      <c r="H81" t="n">
        <v>268125</v>
      </c>
      <c r="I81" t="n">
        <v>5362.5</v>
      </c>
      <c r="J81" t="n">
        <v>262762.5</v>
      </c>
      <c r="K81" t="n">
        <v>257400</v>
      </c>
      <c r="L81" t="n">
        <v>5362.5</v>
      </c>
      <c r="M81" s="1" t="n">
        <v>41284</v>
      </c>
      <c r="N81" t="n">
        <v>10</v>
      </c>
      <c r="O81" t="inlineStr">
        <is>
          <t xml:space="preserve"> October </t>
        </is>
      </c>
      <c r="P81" t="n">
        <v>2013</v>
      </c>
      <c r="Q81" t="n">
        <v>0</v>
      </c>
      <c r="R81" t="n">
        <v>0.02040816326530612</v>
      </c>
      <c r="S81" t="n">
        <v>0.9795918367346939</v>
      </c>
      <c r="T81" t="n">
        <v>0.02040816326530612</v>
      </c>
      <c r="U81" t="n">
        <v>122.5</v>
      </c>
      <c r="V81" t="n">
        <v>2.5</v>
      </c>
      <c r="W81" t="n">
        <v>0</v>
      </c>
    </row>
    <row r="82">
      <c r="A82" t="inlineStr">
        <is>
          <t>Enterprise</t>
        </is>
      </c>
      <c r="B82" t="inlineStr">
        <is>
          <t>Germany</t>
        </is>
      </c>
      <c r="C82" t="inlineStr">
        <is>
          <t xml:space="preserve"> Velo </t>
        </is>
      </c>
      <c r="D82" t="inlineStr">
        <is>
          <t xml:space="preserve"> Low </t>
        </is>
      </c>
      <c r="E82" t="n">
        <v>809</v>
      </c>
      <c r="F82" t="n">
        <v>120</v>
      </c>
      <c r="G82" t="n">
        <v>125</v>
      </c>
      <c r="H82" t="n">
        <v>101125</v>
      </c>
      <c r="I82" t="n">
        <v>2022.5</v>
      </c>
      <c r="J82" t="n">
        <v>99102.5</v>
      </c>
      <c r="K82" t="n">
        <v>97080</v>
      </c>
      <c r="L82" t="n">
        <v>2022.5</v>
      </c>
      <c r="M82" s="1" t="n">
        <v>41284</v>
      </c>
      <c r="N82" t="n">
        <v>10</v>
      </c>
      <c r="O82" t="inlineStr">
        <is>
          <t xml:space="preserve"> October </t>
        </is>
      </c>
      <c r="P82" t="n">
        <v>2013</v>
      </c>
      <c r="Q82" t="n">
        <v>0</v>
      </c>
      <c r="R82" t="n">
        <v>0.02040816326530612</v>
      </c>
      <c r="S82" t="n">
        <v>0.9795918367346939</v>
      </c>
      <c r="T82" t="n">
        <v>0.02040816326530612</v>
      </c>
      <c r="U82" t="n">
        <v>122.5</v>
      </c>
      <c r="V82" t="n">
        <v>2.5</v>
      </c>
      <c r="W82" t="n">
        <v>0</v>
      </c>
    </row>
    <row r="83">
      <c r="A83" t="inlineStr">
        <is>
          <t>Enterprise</t>
        </is>
      </c>
      <c r="B83" t="inlineStr">
        <is>
          <t>Canada</t>
        </is>
      </c>
      <c r="C83" t="inlineStr">
        <is>
          <t xml:space="preserve"> Velo </t>
        </is>
      </c>
      <c r="D83" t="inlineStr">
        <is>
          <t xml:space="preserve"> Low </t>
        </is>
      </c>
      <c r="E83" t="n">
        <v>923</v>
      </c>
      <c r="F83" t="n">
        <v>120</v>
      </c>
      <c r="G83" t="n">
        <v>125</v>
      </c>
      <c r="H83" t="n">
        <v>115375</v>
      </c>
      <c r="I83" t="n">
        <v>1153.75</v>
      </c>
      <c r="J83" t="n">
        <v>114221.25</v>
      </c>
      <c r="K83" t="n">
        <v>110760</v>
      </c>
      <c r="L83" t="n">
        <v>3461.25</v>
      </c>
      <c r="M83" s="1" t="n">
        <v>41647</v>
      </c>
      <c r="N83" t="n">
        <v>8</v>
      </c>
      <c r="O83" t="inlineStr">
        <is>
          <t xml:space="preserve"> August </t>
        </is>
      </c>
      <c r="P83" t="n">
        <v>2014</v>
      </c>
      <c r="Q83" t="n">
        <v>0</v>
      </c>
      <c r="R83" t="n">
        <v>0.0303030303030303</v>
      </c>
      <c r="S83" t="n">
        <v>0.9696969696969697</v>
      </c>
      <c r="T83" t="n">
        <v>0.0101010101010101</v>
      </c>
      <c r="U83" t="n">
        <v>123.75</v>
      </c>
      <c r="V83" t="n">
        <v>3.75</v>
      </c>
      <c r="W83" t="n">
        <v>0</v>
      </c>
    </row>
    <row r="84">
      <c r="A84" t="inlineStr">
        <is>
          <t>Enterprise</t>
        </is>
      </c>
      <c r="B84" t="inlineStr">
        <is>
          <t>United States of America</t>
        </is>
      </c>
      <c r="C84" t="inlineStr">
        <is>
          <t xml:space="preserve"> Velo </t>
        </is>
      </c>
      <c r="D84" t="inlineStr">
        <is>
          <t xml:space="preserve"> Low </t>
        </is>
      </c>
      <c r="E84" t="n">
        <v>663</v>
      </c>
      <c r="F84" t="n">
        <v>120</v>
      </c>
      <c r="G84" t="n">
        <v>125</v>
      </c>
      <c r="H84" t="n">
        <v>82875</v>
      </c>
      <c r="I84" t="n">
        <v>828.75</v>
      </c>
      <c r="J84" t="n">
        <v>82046.25</v>
      </c>
      <c r="K84" t="n">
        <v>79560</v>
      </c>
      <c r="L84" t="n">
        <v>2486.25</v>
      </c>
      <c r="M84" s="1" t="n">
        <v>41284</v>
      </c>
      <c r="N84" t="n">
        <v>10</v>
      </c>
      <c r="O84" t="inlineStr">
        <is>
          <t xml:space="preserve"> October </t>
        </is>
      </c>
      <c r="P84" t="n">
        <v>2013</v>
      </c>
      <c r="Q84" t="n">
        <v>0</v>
      </c>
      <c r="R84" t="n">
        <v>0.0303030303030303</v>
      </c>
      <c r="S84" t="n">
        <v>0.9696969696969697</v>
      </c>
      <c r="T84" t="n">
        <v>0.0101010101010101</v>
      </c>
      <c r="U84" t="n">
        <v>123.75</v>
      </c>
      <c r="V84" t="n">
        <v>3.75</v>
      </c>
      <c r="W84" t="n">
        <v>0</v>
      </c>
    </row>
    <row r="85">
      <c r="A85" t="inlineStr">
        <is>
          <t>Enterprise</t>
        </is>
      </c>
      <c r="B85" t="inlineStr">
        <is>
          <t>Germany</t>
        </is>
      </c>
      <c r="C85" t="inlineStr">
        <is>
          <t xml:space="preserve"> VTT </t>
        </is>
      </c>
      <c r="D85" t="inlineStr">
        <is>
          <t xml:space="preserve"> High </t>
        </is>
      </c>
      <c r="E85" t="n">
        <v>552</v>
      </c>
      <c r="F85" t="n">
        <v>250</v>
      </c>
      <c r="G85" t="n">
        <v>125</v>
      </c>
      <c r="H85" t="n">
        <v>69000</v>
      </c>
      <c r="I85" t="n">
        <v>10350</v>
      </c>
      <c r="J85" t="n">
        <v>58650</v>
      </c>
      <c r="K85" t="n">
        <v>66240</v>
      </c>
      <c r="L85" t="n">
        <v>-7590</v>
      </c>
      <c r="M85" s="1" t="n">
        <v>41650</v>
      </c>
      <c r="N85" t="n">
        <v>11</v>
      </c>
      <c r="O85" t="inlineStr">
        <is>
          <t xml:space="preserve"> November </t>
        </is>
      </c>
      <c r="P85" t="n">
        <v>2014</v>
      </c>
      <c r="Q85" t="n">
        <v>0</v>
      </c>
      <c r="R85" t="n">
        <v>-0.1294117647058824</v>
      </c>
      <c r="S85" t="n">
        <v>1.129411764705882</v>
      </c>
      <c r="T85" t="n">
        <v>0.1764705882352941</v>
      </c>
      <c r="U85" t="n">
        <v>106.25</v>
      </c>
      <c r="V85" t="n">
        <v>-13.75</v>
      </c>
      <c r="W85" t="n">
        <v>1</v>
      </c>
    </row>
    <row r="86">
      <c r="A86" t="inlineStr">
        <is>
          <t>Enterprise</t>
        </is>
      </c>
      <c r="B86" t="inlineStr">
        <is>
          <t>Canada</t>
        </is>
      </c>
      <c r="C86" t="inlineStr">
        <is>
          <t xml:space="preserve"> VTT </t>
        </is>
      </c>
      <c r="D86" t="inlineStr">
        <is>
          <t xml:space="preserve"> High </t>
        </is>
      </c>
      <c r="E86" t="n">
        <v>2954</v>
      </c>
      <c r="F86" t="n">
        <v>250</v>
      </c>
      <c r="G86" t="n">
        <v>125</v>
      </c>
      <c r="H86" t="n">
        <v>369250</v>
      </c>
      <c r="I86" t="n">
        <v>55387.5</v>
      </c>
      <c r="J86" t="n">
        <v>313862.5</v>
      </c>
      <c r="K86" t="n">
        <v>354480</v>
      </c>
      <c r="L86" t="n">
        <v>-40617.5</v>
      </c>
      <c r="M86" s="1" t="n">
        <v>41285</v>
      </c>
      <c r="N86" t="n">
        <v>11</v>
      </c>
      <c r="O86" t="inlineStr">
        <is>
          <t xml:space="preserve"> November </t>
        </is>
      </c>
      <c r="P86" t="n">
        <v>2013</v>
      </c>
      <c r="Q86" t="n">
        <v>0</v>
      </c>
      <c r="R86" t="n">
        <v>-0.1294117647058824</v>
      </c>
      <c r="S86" t="n">
        <v>1.129411764705882</v>
      </c>
      <c r="T86" t="n">
        <v>0.1764705882352941</v>
      </c>
      <c r="U86" t="n">
        <v>106.25</v>
      </c>
      <c r="V86" t="n">
        <v>-13.75</v>
      </c>
      <c r="W86" t="n">
        <v>1</v>
      </c>
    </row>
    <row r="87">
      <c r="A87" t="inlineStr">
        <is>
          <t>Enterprise</t>
        </is>
      </c>
      <c r="B87" t="inlineStr">
        <is>
          <t>Canada</t>
        </is>
      </c>
      <c r="C87" t="inlineStr">
        <is>
          <t xml:space="preserve"> VTT </t>
        </is>
      </c>
      <c r="D87" t="inlineStr">
        <is>
          <t xml:space="preserve"> High </t>
        </is>
      </c>
      <c r="E87" t="n">
        <v>1583</v>
      </c>
      <c r="F87" t="n">
        <v>250</v>
      </c>
      <c r="G87" t="n">
        <v>125</v>
      </c>
      <c r="H87" t="n">
        <v>197875</v>
      </c>
      <c r="I87" t="n">
        <v>25723.75</v>
      </c>
      <c r="J87" t="n">
        <v>172151.25</v>
      </c>
      <c r="K87" t="n">
        <v>189960</v>
      </c>
      <c r="L87" t="n">
        <v>-17808.75</v>
      </c>
      <c r="M87" s="1" t="n">
        <v>41645</v>
      </c>
      <c r="N87" t="n">
        <v>6</v>
      </c>
      <c r="O87" t="inlineStr">
        <is>
          <t xml:space="preserve"> June </t>
        </is>
      </c>
      <c r="P87" t="n">
        <v>2014</v>
      </c>
      <c r="Q87" t="n">
        <v>0</v>
      </c>
      <c r="R87" t="n">
        <v>-0.103448275862069</v>
      </c>
      <c r="S87" t="n">
        <v>1.103448275862069</v>
      </c>
      <c r="T87" t="n">
        <v>0.1494252873563219</v>
      </c>
      <c r="U87" t="n">
        <v>108.75</v>
      </c>
      <c r="V87" t="n">
        <v>-11.25</v>
      </c>
      <c r="W87" t="n">
        <v>1</v>
      </c>
    </row>
    <row r="88">
      <c r="A88" t="inlineStr">
        <is>
          <t>Enterprise</t>
        </is>
      </c>
      <c r="B88" t="inlineStr">
        <is>
          <t>United States of America</t>
        </is>
      </c>
      <c r="C88" t="inlineStr">
        <is>
          <t xml:space="preserve"> VTT </t>
        </is>
      </c>
      <c r="D88" t="inlineStr">
        <is>
          <t xml:space="preserve"> High </t>
        </is>
      </c>
      <c r="E88" t="n">
        <v>2387</v>
      </c>
      <c r="F88" t="n">
        <v>250</v>
      </c>
      <c r="G88" t="n">
        <v>125</v>
      </c>
      <c r="H88" t="n">
        <v>298375</v>
      </c>
      <c r="I88" t="n">
        <v>35805</v>
      </c>
      <c r="J88" t="n">
        <v>262570</v>
      </c>
      <c r="K88" t="n">
        <v>286440</v>
      </c>
      <c r="L88" t="n">
        <v>-23870</v>
      </c>
      <c r="M88" s="1" t="n">
        <v>41650</v>
      </c>
      <c r="N88" t="n">
        <v>11</v>
      </c>
      <c r="O88" t="inlineStr">
        <is>
          <t xml:space="preserve"> November </t>
        </is>
      </c>
      <c r="P88" t="n">
        <v>2014</v>
      </c>
      <c r="Q88" t="n">
        <v>0</v>
      </c>
      <c r="R88" t="n">
        <v>-0.09090909090909091</v>
      </c>
      <c r="S88" t="n">
        <v>1.090909090909091</v>
      </c>
      <c r="T88" t="n">
        <v>0.1363636363636364</v>
      </c>
      <c r="U88" t="n">
        <v>110</v>
      </c>
      <c r="V88" t="n">
        <v>-10</v>
      </c>
      <c r="W88" t="n">
        <v>1</v>
      </c>
    </row>
    <row r="89">
      <c r="A89" t="inlineStr">
        <is>
          <t>Enterprise</t>
        </is>
      </c>
      <c r="B89" t="inlineStr">
        <is>
          <t>Mexico</t>
        </is>
      </c>
      <c r="C89" t="inlineStr">
        <is>
          <t xml:space="preserve"> VTT </t>
        </is>
      </c>
      <c r="D89" t="inlineStr">
        <is>
          <t xml:space="preserve"> High </t>
        </is>
      </c>
      <c r="E89" t="n">
        <v>554</v>
      </c>
      <c r="F89" t="n">
        <v>250</v>
      </c>
      <c r="G89" t="n">
        <v>125</v>
      </c>
      <c r="H89" t="n">
        <v>69250</v>
      </c>
      <c r="I89" t="n">
        <v>7617.5</v>
      </c>
      <c r="J89" t="n">
        <v>61632.5</v>
      </c>
      <c r="K89" t="n">
        <v>66480</v>
      </c>
      <c r="L89" t="n">
        <v>-4847.5</v>
      </c>
      <c r="M89" s="1" t="n">
        <v>41640</v>
      </c>
      <c r="N89" t="n">
        <v>1</v>
      </c>
      <c r="O89" t="inlineStr">
        <is>
          <t xml:space="preserve"> January </t>
        </is>
      </c>
      <c r="P89" t="n">
        <v>2014</v>
      </c>
      <c r="Q89" t="n">
        <v>0</v>
      </c>
      <c r="R89" t="n">
        <v>-0.07865168539325842</v>
      </c>
      <c r="S89" t="n">
        <v>1.078651685393258</v>
      </c>
      <c r="T89" t="n">
        <v>0.1235955056179775</v>
      </c>
      <c r="U89" t="n">
        <v>111.25</v>
      </c>
      <c r="V89" t="n">
        <v>-8.75</v>
      </c>
      <c r="W89" t="n">
        <v>1</v>
      </c>
    </row>
    <row r="90">
      <c r="A90" t="inlineStr">
        <is>
          <t>Enterprise</t>
        </is>
      </c>
      <c r="B90" t="inlineStr">
        <is>
          <t>Canada</t>
        </is>
      </c>
      <c r="C90" t="inlineStr">
        <is>
          <t xml:space="preserve"> VTT </t>
        </is>
      </c>
      <c r="D90" t="inlineStr">
        <is>
          <t xml:space="preserve"> High </t>
        </is>
      </c>
      <c r="E90" t="n">
        <v>2529</v>
      </c>
      <c r="F90" t="n">
        <v>250</v>
      </c>
      <c r="G90" t="n">
        <v>125</v>
      </c>
      <c r="H90" t="n">
        <v>316125</v>
      </c>
      <c r="I90" t="n">
        <v>31612.5</v>
      </c>
      <c r="J90" t="n">
        <v>284512.5</v>
      </c>
      <c r="K90" t="n">
        <v>303480</v>
      </c>
      <c r="L90" t="n">
        <v>-18967.5</v>
      </c>
      <c r="M90" s="1" t="n">
        <v>41650</v>
      </c>
      <c r="N90" t="n">
        <v>11</v>
      </c>
      <c r="O90" t="inlineStr">
        <is>
          <t xml:space="preserve"> November </t>
        </is>
      </c>
      <c r="P90" t="n">
        <v>2014</v>
      </c>
      <c r="Q90" t="n">
        <v>0</v>
      </c>
      <c r="R90" t="n">
        <v>-0.06666666666666667</v>
      </c>
      <c r="S90" t="n">
        <v>1.066666666666667</v>
      </c>
      <c r="T90" t="n">
        <v>0.1111111111111111</v>
      </c>
      <c r="U90" t="n">
        <v>112.5</v>
      </c>
      <c r="V90" t="n">
        <v>-7.5</v>
      </c>
      <c r="W90" t="n">
        <v>1</v>
      </c>
    </row>
    <row r="91">
      <c r="A91" t="inlineStr">
        <is>
          <t>Enterprise</t>
        </is>
      </c>
      <c r="B91" t="inlineStr">
        <is>
          <t>Mexico</t>
        </is>
      </c>
      <c r="C91" t="inlineStr">
        <is>
          <t xml:space="preserve"> VTT </t>
        </is>
      </c>
      <c r="D91" t="inlineStr">
        <is>
          <t xml:space="preserve"> High </t>
        </is>
      </c>
      <c r="E91" t="n">
        <v>341</v>
      </c>
      <c r="F91" t="n">
        <v>250</v>
      </c>
      <c r="G91" t="n">
        <v>125</v>
      </c>
      <c r="H91" t="n">
        <v>42625</v>
      </c>
      <c r="I91" t="n">
        <v>4262.5</v>
      </c>
      <c r="J91" t="n">
        <v>38362.5</v>
      </c>
      <c r="K91" t="n">
        <v>40920</v>
      </c>
      <c r="L91" t="n">
        <v>-2557.5</v>
      </c>
      <c r="M91" s="1" t="n">
        <v>41644</v>
      </c>
      <c r="N91" t="n">
        <v>5</v>
      </c>
      <c r="O91" t="inlineStr">
        <is>
          <t xml:space="preserve"> May </t>
        </is>
      </c>
      <c r="P91" t="n">
        <v>2014</v>
      </c>
      <c r="Q91" t="n">
        <v>0</v>
      </c>
      <c r="R91" t="n">
        <v>-0.06666666666666667</v>
      </c>
      <c r="S91" t="n">
        <v>1.066666666666667</v>
      </c>
      <c r="T91" t="n">
        <v>0.1111111111111111</v>
      </c>
      <c r="U91" t="n">
        <v>112.5</v>
      </c>
      <c r="V91" t="n">
        <v>-7.5</v>
      </c>
      <c r="W91" t="n">
        <v>1</v>
      </c>
    </row>
    <row r="92">
      <c r="A92" t="inlineStr">
        <is>
          <t>Enterprise</t>
        </is>
      </c>
      <c r="B92" t="inlineStr">
        <is>
          <t>Mexico</t>
        </is>
      </c>
      <c r="C92" t="inlineStr">
        <is>
          <t xml:space="preserve"> VTT </t>
        </is>
      </c>
      <c r="D92" t="inlineStr">
        <is>
          <t xml:space="preserve"> Medium </t>
        </is>
      </c>
      <c r="E92" t="n">
        <v>877</v>
      </c>
      <c r="F92" t="n">
        <v>250</v>
      </c>
      <c r="G92" t="n">
        <v>125</v>
      </c>
      <c r="H92" t="n">
        <v>109625</v>
      </c>
      <c r="I92" t="n">
        <v>9866.25</v>
      </c>
      <c r="J92" t="n">
        <v>99758.75</v>
      </c>
      <c r="K92" t="n">
        <v>105240</v>
      </c>
      <c r="L92" t="n">
        <v>-5481.25</v>
      </c>
      <c r="M92" s="1" t="n">
        <v>41650</v>
      </c>
      <c r="N92" t="n">
        <v>11</v>
      </c>
      <c r="O92" t="inlineStr">
        <is>
          <t xml:space="preserve"> November </t>
        </is>
      </c>
      <c r="P92" t="n">
        <v>2014</v>
      </c>
      <c r="Q92" t="n">
        <v>0</v>
      </c>
      <c r="R92" t="n">
        <v>-0.05494505494505494</v>
      </c>
      <c r="S92" t="n">
        <v>1.054945054945055</v>
      </c>
      <c r="T92" t="n">
        <v>0.0989010989010989</v>
      </c>
      <c r="U92" t="n">
        <v>113.75</v>
      </c>
      <c r="V92" t="n">
        <v>-6.25</v>
      </c>
      <c r="W92" t="n">
        <v>1</v>
      </c>
    </row>
    <row r="93">
      <c r="A93" t="inlineStr">
        <is>
          <t>Enterprise</t>
        </is>
      </c>
      <c r="B93" t="inlineStr">
        <is>
          <t>Germany</t>
        </is>
      </c>
      <c r="C93" t="inlineStr">
        <is>
          <t xml:space="preserve"> VTT </t>
        </is>
      </c>
      <c r="D93" t="inlineStr">
        <is>
          <t xml:space="preserve"> Low </t>
        </is>
      </c>
      <c r="E93" t="n">
        <v>1570</v>
      </c>
      <c r="F93" t="n">
        <v>250</v>
      </c>
      <c r="G93" t="n">
        <v>125</v>
      </c>
      <c r="H93" t="n">
        <v>196250</v>
      </c>
      <c r="I93" t="n">
        <v>5887.5</v>
      </c>
      <c r="J93" t="n">
        <v>190362.5</v>
      </c>
      <c r="K93" t="n">
        <v>188400</v>
      </c>
      <c r="L93" t="n">
        <v>1962.5</v>
      </c>
      <c r="M93" s="1" t="n">
        <v>41645</v>
      </c>
      <c r="N93" t="n">
        <v>6</v>
      </c>
      <c r="O93" t="inlineStr">
        <is>
          <t xml:space="preserve"> June </t>
        </is>
      </c>
      <c r="P93" t="n">
        <v>2014</v>
      </c>
      <c r="Q93" t="n">
        <v>0</v>
      </c>
      <c r="R93" t="n">
        <v>0.01030927835051546</v>
      </c>
      <c r="S93" t="n">
        <v>0.9896907216494846</v>
      </c>
      <c r="T93" t="n">
        <v>0.03092783505154639</v>
      </c>
      <c r="U93" t="n">
        <v>121.25</v>
      </c>
      <c r="V93" t="n">
        <v>1.25</v>
      </c>
      <c r="W93" t="n">
        <v>0</v>
      </c>
    </row>
    <row r="94">
      <c r="A94" t="inlineStr">
        <is>
          <t>Enterprise</t>
        </is>
      </c>
      <c r="B94" t="inlineStr">
        <is>
          <t>Canada</t>
        </is>
      </c>
      <c r="C94" t="inlineStr">
        <is>
          <t xml:space="preserve"> VTT </t>
        </is>
      </c>
      <c r="D94" t="inlineStr">
        <is>
          <t xml:space="preserve"> Low </t>
        </is>
      </c>
      <c r="E94" t="n">
        <v>2729</v>
      </c>
      <c r="F94" t="n">
        <v>250</v>
      </c>
      <c r="G94" t="n">
        <v>125</v>
      </c>
      <c r="H94" t="n">
        <v>341125</v>
      </c>
      <c r="I94" t="n">
        <v>6822.5</v>
      </c>
      <c r="J94" t="n">
        <v>334302.5</v>
      </c>
      <c r="K94" t="n">
        <v>327480</v>
      </c>
      <c r="L94" t="n">
        <v>6822.5</v>
      </c>
      <c r="M94" s="1" t="n">
        <v>41651</v>
      </c>
      <c r="N94" t="n">
        <v>12</v>
      </c>
      <c r="O94" t="inlineStr">
        <is>
          <t xml:space="preserve"> December </t>
        </is>
      </c>
      <c r="P94" t="n">
        <v>2014</v>
      </c>
      <c r="Q94" t="n">
        <v>0</v>
      </c>
      <c r="R94" t="n">
        <v>0.02040816326530612</v>
      </c>
      <c r="S94" t="n">
        <v>0.9795918367346939</v>
      </c>
      <c r="T94" t="n">
        <v>0.02040816326530612</v>
      </c>
      <c r="U94" t="n">
        <v>122.5</v>
      </c>
      <c r="V94" t="n">
        <v>2.5</v>
      </c>
      <c r="W94" t="n">
        <v>0</v>
      </c>
    </row>
    <row r="95">
      <c r="A95" t="inlineStr">
        <is>
          <t>Enterprise</t>
        </is>
      </c>
      <c r="B95" t="inlineStr">
        <is>
          <t>Mexico</t>
        </is>
      </c>
      <c r="C95" t="inlineStr">
        <is>
          <t xml:space="preserve"> VTT </t>
        </is>
      </c>
      <c r="D95" t="inlineStr">
        <is>
          <t xml:space="preserve"> Low </t>
        </is>
      </c>
      <c r="E95" t="n">
        <v>662</v>
      </c>
      <c r="F95" t="n">
        <v>250</v>
      </c>
      <c r="G95" t="n">
        <v>125</v>
      </c>
      <c r="H95" t="n">
        <v>82750</v>
      </c>
      <c r="I95" t="n">
        <v>1655</v>
      </c>
      <c r="J95" t="n">
        <v>81095</v>
      </c>
      <c r="K95" t="n">
        <v>79440</v>
      </c>
      <c r="L95" t="n">
        <v>1655</v>
      </c>
      <c r="M95" s="1" t="n">
        <v>41645</v>
      </c>
      <c r="N95" t="n">
        <v>6</v>
      </c>
      <c r="O95" t="inlineStr">
        <is>
          <t xml:space="preserve"> June </t>
        </is>
      </c>
      <c r="P95" t="n">
        <v>2014</v>
      </c>
      <c r="Q95" t="n">
        <v>0</v>
      </c>
      <c r="R95" t="n">
        <v>0.02040816326530612</v>
      </c>
      <c r="S95" t="n">
        <v>0.9795918367346939</v>
      </c>
      <c r="T95" t="n">
        <v>0.02040816326530612</v>
      </c>
      <c r="U95" t="n">
        <v>122.5</v>
      </c>
      <c r="V95" t="n">
        <v>2.5</v>
      </c>
      <c r="W95" t="n">
        <v>0</v>
      </c>
    </row>
    <row r="96">
      <c r="A96" t="inlineStr">
        <is>
          <t>Enterprise</t>
        </is>
      </c>
      <c r="B96" t="inlineStr">
        <is>
          <t>United States of America</t>
        </is>
      </c>
      <c r="C96" t="inlineStr">
        <is>
          <t xml:space="preserve"> VTT </t>
        </is>
      </c>
      <c r="D96" t="inlineStr">
        <is>
          <t xml:space="preserve"> Low </t>
        </is>
      </c>
      <c r="E96" t="n">
        <v>727</v>
      </c>
      <c r="F96" t="n">
        <v>250</v>
      </c>
      <c r="G96" t="n">
        <v>125</v>
      </c>
      <c r="H96" t="n">
        <v>90875</v>
      </c>
      <c r="I96" t="n">
        <v>908.75</v>
      </c>
      <c r="J96" t="n">
        <v>89966.25</v>
      </c>
      <c r="K96" t="n">
        <v>87240</v>
      </c>
      <c r="L96" t="n">
        <v>2726.25</v>
      </c>
      <c r="M96" s="1" t="n">
        <v>41645</v>
      </c>
      <c r="N96" t="n">
        <v>6</v>
      </c>
      <c r="O96" t="inlineStr">
        <is>
          <t xml:space="preserve"> June </t>
        </is>
      </c>
      <c r="P96" t="n">
        <v>2014</v>
      </c>
      <c r="Q96" t="n">
        <v>0</v>
      </c>
      <c r="R96" t="n">
        <v>0.0303030303030303</v>
      </c>
      <c r="S96" t="n">
        <v>0.9696969696969697</v>
      </c>
      <c r="T96" t="n">
        <v>0.0101010101010101</v>
      </c>
      <c r="U96" t="n">
        <v>123.75</v>
      </c>
      <c r="V96" t="n">
        <v>3.75</v>
      </c>
      <c r="W96" t="n">
        <v>0</v>
      </c>
    </row>
    <row r="97">
      <c r="A97" t="inlineStr">
        <is>
          <t>Enterprise</t>
        </is>
      </c>
      <c r="B97" t="inlineStr">
        <is>
          <t>France</t>
        </is>
      </c>
      <c r="C97" t="inlineStr">
        <is>
          <t xml:space="preserve"> VTT </t>
        </is>
      </c>
      <c r="D97" t="inlineStr">
        <is>
          <t xml:space="preserve"> Low </t>
        </is>
      </c>
      <c r="E97" t="n">
        <v>787</v>
      </c>
      <c r="F97" t="n">
        <v>250</v>
      </c>
      <c r="G97" t="n">
        <v>125</v>
      </c>
      <c r="H97" t="n">
        <v>98375</v>
      </c>
      <c r="I97" t="n">
        <v>983.75</v>
      </c>
      <c r="J97" t="n">
        <v>97391.25</v>
      </c>
      <c r="K97" t="n">
        <v>94440</v>
      </c>
      <c r="L97" t="n">
        <v>2951.25</v>
      </c>
      <c r="M97" s="1" t="n">
        <v>41645</v>
      </c>
      <c r="N97" t="n">
        <v>6</v>
      </c>
      <c r="O97" t="inlineStr">
        <is>
          <t xml:space="preserve"> June </t>
        </is>
      </c>
      <c r="P97" t="n">
        <v>2014</v>
      </c>
      <c r="Q97" t="n">
        <v>0</v>
      </c>
      <c r="R97" t="n">
        <v>0.0303030303030303</v>
      </c>
      <c r="S97" t="n">
        <v>0.9696969696969697</v>
      </c>
      <c r="T97" t="n">
        <v>0.0101010101010101</v>
      </c>
      <c r="U97" t="n">
        <v>123.75</v>
      </c>
      <c r="V97" t="n">
        <v>3.75</v>
      </c>
      <c r="W97" t="n">
        <v>0</v>
      </c>
    </row>
    <row r="98">
      <c r="A98" t="inlineStr">
        <is>
          <t>Enterprise</t>
        </is>
      </c>
      <c r="B98" t="inlineStr">
        <is>
          <t>France</t>
        </is>
      </c>
      <c r="C98" t="inlineStr">
        <is>
          <t xml:space="preserve"> VTT </t>
        </is>
      </c>
      <c r="D98" t="inlineStr">
        <is>
          <t xml:space="preserve"> Low </t>
        </is>
      </c>
      <c r="E98" t="n">
        <v>1744</v>
      </c>
      <c r="F98" t="n">
        <v>250</v>
      </c>
      <c r="G98" t="n">
        <v>125</v>
      </c>
      <c r="H98" t="n">
        <v>218000</v>
      </c>
      <c r="I98" t="n">
        <v>2180</v>
      </c>
      <c r="J98" t="n">
        <v>215820</v>
      </c>
      <c r="K98" t="n">
        <v>209280</v>
      </c>
      <c r="L98" t="n">
        <v>6540</v>
      </c>
      <c r="M98" s="1" t="n">
        <v>41650</v>
      </c>
      <c r="N98" t="n">
        <v>11</v>
      </c>
      <c r="O98" t="inlineStr">
        <is>
          <t xml:space="preserve"> November </t>
        </is>
      </c>
      <c r="P98" t="n">
        <v>2014</v>
      </c>
      <c r="Q98" t="n">
        <v>0</v>
      </c>
      <c r="R98" t="n">
        <v>0.0303030303030303</v>
      </c>
      <c r="S98" t="n">
        <v>0.9696969696969697</v>
      </c>
      <c r="T98" t="n">
        <v>0.0101010101010101</v>
      </c>
      <c r="U98" t="n">
        <v>123.75</v>
      </c>
      <c r="V98" t="n">
        <v>3.75</v>
      </c>
      <c r="W98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P113"/>
  <sheetViews>
    <sheetView tabSelected="0" workbookViewId="0">
      <selection activeCell="C5" sqref="C5"/>
    </sheetView>
  </sheetViews>
  <sheetFormatPr baseColWidth="8" defaultRowHeight="14.4"/>
  <cols>
    <col width="12.44140625" bestFit="1" customWidth="1" min="1" max="1"/>
    <col width="24.88671875" bestFit="1" customWidth="1" min="2" max="2"/>
    <col width="14.21875" bestFit="1" customWidth="1" min="3" max="3"/>
    <col width="17.88671875" bestFit="1" customWidth="1" min="4" max="4"/>
    <col width="15.109375" bestFit="1" customWidth="1" min="5" max="5"/>
    <col width="14.109375" bestFit="1" customWidth="1" min="6" max="6"/>
    <col width="17.88671875" bestFit="1" customWidth="1" min="7" max="7"/>
    <col width="15.109375" bestFit="1" customWidth="1" min="8" max="8"/>
    <col width="14.109375" bestFit="1" customWidth="1" min="9" max="9"/>
    <col width="17.88671875" bestFit="1" customWidth="1" min="10" max="10"/>
    <col width="14.109375" bestFit="1" customWidth="1" min="11" max="12"/>
    <col width="17.88671875" bestFit="1" customWidth="1" min="13" max="13"/>
    <col width="17.21875" bestFit="1" customWidth="1" min="14" max="14"/>
    <col width="16.77734375" bestFit="1" customWidth="1" min="15" max="15"/>
    <col width="22.44140625" bestFit="1" customWidth="1" min="16" max="16"/>
  </cols>
  <sheetData>
    <row r="3">
      <c r="A3" s="7" t="inlineStr">
        <is>
          <t>Row Labels</t>
        </is>
      </c>
      <c r="B3" t="inlineStr">
        <is>
          <t xml:space="preserve">Sum of   Sales </t>
        </is>
      </c>
      <c r="C3" t="inlineStr">
        <is>
          <t xml:space="preserve">Sum of  Profit </t>
        </is>
      </c>
      <c r="D3" t="inlineStr">
        <is>
          <t>Sum of Profit margin</t>
        </is>
      </c>
    </row>
    <row r="4">
      <c r="A4" s="8" t="inlineStr">
        <is>
          <t>Channel Partners</t>
        </is>
      </c>
      <c r="B4" s="68" t="n">
        <v>1800593.639999999</v>
      </c>
      <c r="C4" s="68" t="n">
        <v>1316803.14</v>
      </c>
      <c r="D4" s="68" t="n">
        <v>0.7313161119462804</v>
      </c>
    </row>
    <row r="5">
      <c r="A5" s="8" t="inlineStr">
        <is>
          <t>Enterprise</t>
        </is>
      </c>
      <c r="B5" s="68" t="n">
        <v>18755734.38</v>
      </c>
      <c r="C5" s="68" t="n">
        <v>-614545.62</v>
      </c>
      <c r="D5" s="68" t="n">
        <v>-0.03276574553408663</v>
      </c>
    </row>
    <row r="6">
      <c r="A6" s="8" t="inlineStr">
        <is>
          <t>Government</t>
        </is>
      </c>
      <c r="B6" s="68" t="n">
        <v>52504260.68000004</v>
      </c>
      <c r="C6" s="68" t="n">
        <v>11388173.17999998</v>
      </c>
      <c r="D6" s="68" t="n">
        <v>0.2168999816873524</v>
      </c>
    </row>
    <row r="7">
      <c r="A7" s="8" t="inlineStr">
        <is>
          <t>Midmarket</t>
        </is>
      </c>
      <c r="B7" s="68" t="n">
        <v>2381883.09</v>
      </c>
      <c r="C7" s="68" t="n">
        <v>660103.0899999999</v>
      </c>
      <c r="D7" s="68" t="n">
        <v>0.2771349663513501</v>
      </c>
    </row>
    <row r="8">
      <c r="A8" s="8" t="inlineStr">
        <is>
          <t>Small Business</t>
        </is>
      </c>
      <c r="B8" s="68" t="n">
        <v>42427918.5</v>
      </c>
      <c r="C8" s="68" t="n">
        <v>4143168.5</v>
      </c>
      <c r="D8" s="68" t="n">
        <v>0.09765193878177172</v>
      </c>
    </row>
    <row r="9">
      <c r="A9" s="8" t="inlineStr">
        <is>
          <t>Grand Total</t>
        </is>
      </c>
      <c r="B9" s="68" t="n">
        <v>117870390.29</v>
      </c>
      <c r="C9" s="68" t="n">
        <v>16893702.28999998</v>
      </c>
      <c r="D9" s="68" t="n">
        <v>0.1433243942642076</v>
      </c>
    </row>
    <row r="11">
      <c r="A11" s="7" t="inlineStr">
        <is>
          <t>Row Labels</t>
        </is>
      </c>
      <c r="B11" t="inlineStr">
        <is>
          <t xml:space="preserve">Sum of   Sales </t>
        </is>
      </c>
      <c r="C11" t="inlineStr">
        <is>
          <t xml:space="preserve">Sum of  Profit </t>
        </is>
      </c>
      <c r="D11" t="inlineStr">
        <is>
          <t>Sum of Profit margin</t>
        </is>
      </c>
    </row>
    <row r="12">
      <c r="A12" s="8" t="n">
        <v>2013</v>
      </c>
      <c r="B12" s="68" t="n">
        <v>26415255.51000001</v>
      </c>
      <c r="C12" s="68" t="n">
        <v>3878464.510000001</v>
      </c>
      <c r="D12" s="68" t="n">
        <v>0.1468266891657259</v>
      </c>
    </row>
    <row r="13">
      <c r="A13" s="8" t="n">
        <v>2014</v>
      </c>
      <c r="B13" s="68" t="n">
        <v>91455134.77999996</v>
      </c>
      <c r="C13" s="68" t="n">
        <v>13015237.78</v>
      </c>
      <c r="D13" s="68" t="n">
        <v>0.1423128161290104</v>
      </c>
    </row>
    <row r="14">
      <c r="A14" s="8" t="inlineStr">
        <is>
          <t>Grand Total</t>
        </is>
      </c>
      <c r="B14" s="68" t="n">
        <v>117870390.29</v>
      </c>
      <c r="C14" s="68" t="n">
        <v>16893702.29</v>
      </c>
      <c r="D14" s="68" t="n">
        <v>0.1433243942642079</v>
      </c>
    </row>
    <row r="16">
      <c r="A16" t="inlineStr">
        <is>
          <t xml:space="preserve">Sum of   Sales </t>
        </is>
      </c>
      <c r="B16" t="inlineStr">
        <is>
          <t xml:space="preserve">Sum of  Profit </t>
        </is>
      </c>
      <c r="C16" t="inlineStr">
        <is>
          <t>Sum of Profit margin</t>
        </is>
      </c>
    </row>
    <row r="17">
      <c r="A17" s="68" t="n">
        <v>117870390.2899999</v>
      </c>
      <c r="B17" s="68" t="n">
        <v>16893702.29000001</v>
      </c>
      <c r="C17" s="68" t="n">
        <v>0.1433243942642079</v>
      </c>
    </row>
    <row r="19">
      <c r="A19" s="7" t="inlineStr">
        <is>
          <t>Row Labels</t>
        </is>
      </c>
      <c r="B19" t="inlineStr">
        <is>
          <t xml:space="preserve">Sum of   Sales </t>
        </is>
      </c>
      <c r="C19" t="inlineStr">
        <is>
          <t xml:space="preserve">Sum of  Profit </t>
        </is>
      </c>
      <c r="D19" t="inlineStr">
        <is>
          <t>Sum of Profit margin</t>
        </is>
      </c>
    </row>
    <row r="20">
      <c r="A20" s="8" t="inlineStr">
        <is>
          <t xml:space="preserve"> Amarilla </t>
        </is>
      </c>
      <c r="B20" s="68" t="n">
        <v>17618236.07</v>
      </c>
      <c r="C20" s="68" t="n">
        <v>2814104.07</v>
      </c>
      <c r="D20" s="68" t="n">
        <v>0.1597267773470128</v>
      </c>
    </row>
    <row r="21">
      <c r="A21" s="8" t="inlineStr">
        <is>
          <t xml:space="preserve"> Carretera </t>
        </is>
      </c>
      <c r="B21" s="68" t="n">
        <v>13815307.89</v>
      </c>
      <c r="C21" s="68" t="n">
        <v>1826804.89</v>
      </c>
      <c r="D21" s="68" t="n">
        <v>0.1322304869746916</v>
      </c>
    </row>
    <row r="22">
      <c r="A22" s="8" t="inlineStr">
        <is>
          <t xml:space="preserve"> Montana </t>
        </is>
      </c>
      <c r="B22" s="68" t="n">
        <v>15254241.88</v>
      </c>
      <c r="C22" s="68" t="n">
        <v>2114754.88</v>
      </c>
      <c r="D22" s="68" t="n">
        <v>0.1386338892903409</v>
      </c>
    </row>
    <row r="23">
      <c r="A23" s="8" t="inlineStr">
        <is>
          <t xml:space="preserve"> Paseo </t>
        </is>
      </c>
      <c r="B23" s="68" t="n">
        <v>32420623.96000001</v>
      </c>
      <c r="C23" s="68" t="n">
        <v>4797437.959999999</v>
      </c>
      <c r="D23" s="68" t="n">
        <v>0.1479748806167023</v>
      </c>
    </row>
    <row r="24">
      <c r="A24" s="8" t="inlineStr">
        <is>
          <t xml:space="preserve"> Velo </t>
        </is>
      </c>
      <c r="B24" s="68" t="n">
        <v>18250059.47</v>
      </c>
      <c r="C24" s="68" t="n">
        <v>2305992.47</v>
      </c>
      <c r="D24" s="68" t="n">
        <v>0.1263553400355029</v>
      </c>
    </row>
    <row r="25">
      <c r="A25" s="8" t="inlineStr">
        <is>
          <t xml:space="preserve"> VTT </t>
        </is>
      </c>
      <c r="B25" s="68" t="n">
        <v>20511921.02</v>
      </c>
      <c r="C25" s="68" t="n">
        <v>3034608.02</v>
      </c>
      <c r="D25" s="68" t="n">
        <v>0.1479436283437874</v>
      </c>
    </row>
    <row r="26">
      <c r="A26" s="8" t="inlineStr">
        <is>
          <t>Grand Total</t>
        </is>
      </c>
      <c r="B26" s="68" t="n">
        <v>117870390.29</v>
      </c>
      <c r="C26" s="68" t="n">
        <v>16893702.29</v>
      </c>
      <c r="D26" s="68" t="n">
        <v>0.1433243942642078</v>
      </c>
    </row>
    <row r="28">
      <c r="A28" s="7" t="inlineStr">
        <is>
          <t>Row Labels</t>
        </is>
      </c>
      <c r="B28" t="inlineStr">
        <is>
          <t xml:space="preserve">Sum of   Sales </t>
        </is>
      </c>
      <c r="C28" t="inlineStr">
        <is>
          <t xml:space="preserve">Sum of  Profit </t>
        </is>
      </c>
      <c r="D28" t="inlineStr">
        <is>
          <t>Sum of Profit margin</t>
        </is>
      </c>
    </row>
    <row r="29">
      <c r="A29" s="8" t="inlineStr">
        <is>
          <t>Canada</t>
        </is>
      </c>
      <c r="B29" s="68" t="n">
        <v>24887654.89</v>
      </c>
      <c r="C29" s="68" t="n">
        <v>3529228.89</v>
      </c>
      <c r="D29" s="68" t="n">
        <v>0.1418064058505594</v>
      </c>
    </row>
    <row r="30">
      <c r="A30" s="8" t="inlineStr">
        <is>
          <t>France</t>
        </is>
      </c>
      <c r="B30" s="68" t="n">
        <v>23995612.29000001</v>
      </c>
      <c r="C30" s="68" t="n">
        <v>3781020.790000001</v>
      </c>
      <c r="D30" s="68" t="n">
        <v>0.1575713403060656</v>
      </c>
    </row>
    <row r="31">
      <c r="A31" s="8" t="inlineStr">
        <is>
          <t>Germany</t>
        </is>
      </c>
      <c r="B31" s="68" t="n">
        <v>23409940.82000001</v>
      </c>
      <c r="C31" s="68" t="n">
        <v>3680388.820000001</v>
      </c>
      <c r="D31" s="68" t="n">
        <v>0.1572147853041859</v>
      </c>
    </row>
    <row r="32">
      <c r="A32" s="8" t="inlineStr">
        <is>
          <t>Mexico</t>
        </is>
      </c>
      <c r="B32" s="68" t="n">
        <v>20547352.11</v>
      </c>
      <c r="C32" s="68" t="n">
        <v>2907523.11</v>
      </c>
      <c r="D32" s="68" t="n">
        <v>0.1415035423754171</v>
      </c>
    </row>
    <row r="33">
      <c r="A33" s="8" t="inlineStr">
        <is>
          <t>United States of America</t>
        </is>
      </c>
      <c r="B33" s="68" t="n">
        <v>25029830.18000001</v>
      </c>
      <c r="C33" s="68" t="n">
        <v>2995540.679999999</v>
      </c>
      <c r="D33" s="68" t="n">
        <v>0.1196788255636498</v>
      </c>
    </row>
    <row r="34">
      <c r="A34" s="8" t="inlineStr">
        <is>
          <t>Grand Total</t>
        </is>
      </c>
      <c r="B34" s="68" t="n">
        <v>117870390.29</v>
      </c>
      <c r="C34" s="68" t="n">
        <v>16893702.29</v>
      </c>
      <c r="D34" s="68" t="n">
        <v>0.1433243942642078</v>
      </c>
    </row>
    <row r="36">
      <c r="A36" s="7" t="inlineStr">
        <is>
          <t>Row Labels</t>
        </is>
      </c>
      <c r="B36" t="inlineStr">
        <is>
          <t xml:space="preserve">Sum of  Units_Sold </t>
        </is>
      </c>
      <c r="C36" t="inlineStr">
        <is>
          <t xml:space="preserve">Sum of   Sales </t>
        </is>
      </c>
      <c r="D36" t="inlineStr">
        <is>
          <t xml:space="preserve">Sum of  Profit </t>
        </is>
      </c>
      <c r="E36" t="inlineStr">
        <is>
          <t>Sum of Profit margin</t>
        </is>
      </c>
    </row>
    <row r="37">
      <c r="A37" s="8" t="inlineStr">
        <is>
          <t xml:space="preserve"> High </t>
        </is>
      </c>
      <c r="B37" t="n">
        <v>398085.5</v>
      </c>
      <c r="C37" s="68" t="n">
        <v>37372486.74000002</v>
      </c>
      <c r="D37" s="68" t="n">
        <v>3388866.74</v>
      </c>
      <c r="E37" s="68" t="n">
        <v>0.0906781173962629</v>
      </c>
    </row>
    <row r="38">
      <c r="A38" s="8" t="inlineStr">
        <is>
          <t xml:space="preserve"> Low </t>
        </is>
      </c>
      <c r="B38" t="n">
        <v>254725.5</v>
      </c>
      <c r="C38" s="68" t="n">
        <v>33773818.70999999</v>
      </c>
      <c r="D38" s="68" t="n">
        <v>6188857.710000001</v>
      </c>
      <c r="E38" s="68" t="n">
        <v>0.1832442390699386</v>
      </c>
    </row>
    <row r="39">
      <c r="A39" s="8" t="inlineStr">
        <is>
          <t xml:space="preserve"> Medium </t>
        </is>
      </c>
      <c r="B39" t="n">
        <v>379698.5</v>
      </c>
      <c r="C39" s="68" t="n">
        <v>38780430.84000003</v>
      </c>
      <c r="D39" s="68" t="n">
        <v>5579522.839999997</v>
      </c>
      <c r="E39" s="68" t="n">
        <v>0.1438746996654046</v>
      </c>
    </row>
    <row r="40">
      <c r="A40" s="8" t="inlineStr">
        <is>
          <t xml:space="preserve"> None </t>
        </is>
      </c>
      <c r="B40" t="n">
        <v>86163.5</v>
      </c>
      <c r="C40" s="68" t="n">
        <v>7943654</v>
      </c>
      <c r="D40" s="68" t="n">
        <v>1736455</v>
      </c>
      <c r="E40" s="68" t="n">
        <v>0.2185965048326627</v>
      </c>
    </row>
    <row r="41">
      <c r="A41" s="8" t="inlineStr">
        <is>
          <t>Grand Total</t>
        </is>
      </c>
      <c r="B41" t="n">
        <v>1118673</v>
      </c>
      <c r="C41" s="68" t="n">
        <v>117870390.29</v>
      </c>
      <c r="D41" s="68" t="n">
        <v>16893702.29</v>
      </c>
      <c r="E41" s="68" t="n">
        <v>0.1433243942642079</v>
      </c>
    </row>
    <row r="43">
      <c r="A43" t="inlineStr">
        <is>
          <t>Average of Is_Loss</t>
        </is>
      </c>
    </row>
    <row r="44">
      <c r="A44" t="n">
        <v>0.08345323741007195</v>
      </c>
    </row>
    <row r="46">
      <c r="A46" s="7" t="inlineStr"/>
      <c r="B46" t="inlineStr">
        <is>
          <t>Average of Is_Loss</t>
        </is>
      </c>
    </row>
    <row r="47">
      <c r="A47" s="8" t="inlineStr">
        <is>
          <t xml:space="preserve"> High </t>
        </is>
      </c>
      <c r="B47" t="n">
        <v>0.1346938775510204</v>
      </c>
    </row>
    <row r="48">
      <c r="A48" s="8" t="inlineStr">
        <is>
          <t xml:space="preserve"> Low </t>
        </is>
      </c>
      <c r="B48" t="n">
        <v>0</v>
      </c>
    </row>
    <row r="49">
      <c r="A49" s="8" t="inlineStr">
        <is>
          <t xml:space="preserve"> Medium </t>
        </is>
      </c>
      <c r="B49" t="n">
        <v>0.1033057851239669</v>
      </c>
    </row>
    <row r="50">
      <c r="A50" s="8" t="inlineStr">
        <is>
          <t xml:space="preserve"> None </t>
        </is>
      </c>
      <c r="B50" t="n">
        <v>0</v>
      </c>
    </row>
    <row r="51">
      <c r="A51" s="8" t="inlineStr">
        <is>
          <t>Grand Total</t>
        </is>
      </c>
      <c r="B51" t="n">
        <v>0.08345323741007195</v>
      </c>
    </row>
    <row r="53">
      <c r="A53" s="7" t="inlineStr">
        <is>
          <t>Row Labels</t>
        </is>
      </c>
      <c r="B53" t="inlineStr">
        <is>
          <t>Average of Is_Loss</t>
        </is>
      </c>
      <c r="C53" t="inlineStr">
        <is>
          <t xml:space="preserve">Sum of  Sale_Price </t>
        </is>
      </c>
      <c r="D53" t="inlineStr">
        <is>
          <t>Sum of unit cost</t>
        </is>
      </c>
    </row>
    <row r="54">
      <c r="A54" s="8" t="inlineStr">
        <is>
          <t>Channel Partners</t>
        </is>
      </c>
      <c r="B54" t="n">
        <v>0</v>
      </c>
      <c r="C54" s="68" t="n">
        <v>1200</v>
      </c>
      <c r="D54" s="68" t="n">
        <v>3</v>
      </c>
    </row>
    <row r="55">
      <c r="A55" s="8" t="inlineStr">
        <is>
          <t>Enterprise</t>
        </is>
      </c>
      <c r="B55" t="n">
        <v>0.6105263157894737</v>
      </c>
      <c r="C55" s="68" t="n">
        <v>11875</v>
      </c>
      <c r="D55" s="68" t="n">
        <v>120</v>
      </c>
    </row>
    <row r="56">
      <c r="A56" s="8" t="inlineStr">
        <is>
          <t>Government</t>
        </is>
      </c>
      <c r="B56" t="n">
        <v>0</v>
      </c>
      <c r="C56" s="68" t="n">
        <v>37700</v>
      </c>
      <c r="D56" s="68" t="n">
        <v>87.35585814795182</v>
      </c>
    </row>
    <row r="57">
      <c r="A57" s="8" t="inlineStr">
        <is>
          <t>Midmarket</t>
        </is>
      </c>
      <c r="B57" t="n">
        <v>0</v>
      </c>
      <c r="C57" s="68" t="n">
        <v>1500</v>
      </c>
      <c r="D57" s="68" t="n">
        <v>10</v>
      </c>
    </row>
    <row r="58">
      <c r="A58" s="8" t="inlineStr">
        <is>
          <t>Small Business</t>
        </is>
      </c>
      <c r="B58" t="n">
        <v>0</v>
      </c>
      <c r="C58" s="68" t="n">
        <v>30000</v>
      </c>
      <c r="D58" s="68" t="n">
        <v>250</v>
      </c>
    </row>
    <row r="59">
      <c r="A59" s="8" t="inlineStr">
        <is>
          <t>Grand Total</t>
        </is>
      </c>
      <c r="B59" t="n">
        <v>0.08345323741007195</v>
      </c>
      <c r="C59" s="68" t="n">
        <v>82275</v>
      </c>
      <c r="D59" s="68" t="n">
        <v>90.26470469922846</v>
      </c>
    </row>
    <row r="62">
      <c r="A62" s="7" t="inlineStr">
        <is>
          <t>Sum of Profit_Margin</t>
        </is>
      </c>
      <c r="B62" s="7" t="inlineStr">
        <is>
          <t>Column Labels</t>
        </is>
      </c>
    </row>
    <row r="63">
      <c r="A63" s="7" t="inlineStr">
        <is>
          <t>Row Labels</t>
        </is>
      </c>
      <c r="B63" t="inlineStr">
        <is>
          <t xml:space="preserve"> High </t>
        </is>
      </c>
      <c r="C63" t="inlineStr">
        <is>
          <t xml:space="preserve"> Low </t>
        </is>
      </c>
      <c r="D63" t="inlineStr">
        <is>
          <t xml:space="preserve"> Medium </t>
        </is>
      </c>
      <c r="E63" t="inlineStr">
        <is>
          <t xml:space="preserve"> None </t>
        </is>
      </c>
      <c r="F63" t="inlineStr">
        <is>
          <t>Grand Total</t>
        </is>
      </c>
    </row>
    <row r="64">
      <c r="A64" s="8" t="inlineStr">
        <is>
          <t>Channel Partners</t>
        </is>
      </c>
      <c r="B64" s="11" t="n">
        <v>24.99832139009754</v>
      </c>
      <c r="C64" s="11" t="n">
        <v>18.60887103201168</v>
      </c>
      <c r="D64" s="11" t="n">
        <v>21.91595420181399</v>
      </c>
      <c r="E64" s="11" t="n">
        <v>7.5</v>
      </c>
      <c r="F64" s="11" t="n">
        <v>73.02314662392321</v>
      </c>
    </row>
    <row r="65">
      <c r="A65" s="8" t="inlineStr">
        <is>
          <t>Enterprise</t>
        </is>
      </c>
      <c r="B65" s="11" t="n">
        <v>-3.17963503363228</v>
      </c>
      <c r="C65" s="11" t="n">
        <v>0.6306128920713547</v>
      </c>
      <c r="D65" s="11" t="n">
        <v>-0.7472340832846183</v>
      </c>
      <c r="E65" s="11" t="n">
        <v>0.24</v>
      </c>
      <c r="F65" s="11" t="n">
        <v>-3.056256224845543</v>
      </c>
    </row>
    <row r="66">
      <c r="A66" s="8" t="inlineStr">
        <is>
          <t>Government</t>
        </is>
      </c>
      <c r="B66" s="11" t="n">
        <v>26.91134630324281</v>
      </c>
      <c r="C66" s="11" t="n">
        <v>17.63289214669874</v>
      </c>
      <c r="D66" s="11" t="n">
        <v>36.43567034874243</v>
      </c>
      <c r="E66" s="11" t="n">
        <v>7.014285714285713</v>
      </c>
      <c r="F66" s="11" t="n">
        <v>87.99419451296968</v>
      </c>
    </row>
    <row r="67">
      <c r="A67" s="8" t="inlineStr">
        <is>
          <t>Midmarket</t>
        </is>
      </c>
      <c r="B67" s="11" t="n">
        <v>9.762422066028112</v>
      </c>
      <c r="C67" s="11" t="n">
        <v>5.647881968574161</v>
      </c>
      <c r="D67" s="11" t="n">
        <v>7.930956024102328</v>
      </c>
      <c r="E67" s="11" t="n">
        <v>4.333333333333333</v>
      </c>
      <c r="F67" s="11" t="n">
        <v>27.67459339203793</v>
      </c>
    </row>
    <row r="68">
      <c r="A68" s="8" t="inlineStr">
        <is>
          <t>Small Business</t>
        </is>
      </c>
      <c r="B68" s="11" t="n">
        <v>1.478489101231403</v>
      </c>
      <c r="C68" s="11" t="n">
        <v>3.510963437233688</v>
      </c>
      <c r="D68" s="11" t="n">
        <v>4.014896394582406</v>
      </c>
      <c r="E68" s="11" t="n">
        <v>0.6666666666666666</v>
      </c>
      <c r="F68" s="11" t="n">
        <v>9.671015599714163</v>
      </c>
    </row>
    <row r="69">
      <c r="A69" s="8" t="inlineStr">
        <is>
          <t>Grand Total</t>
        </is>
      </c>
      <c r="B69" s="11" t="n">
        <v>59.97094382696757</v>
      </c>
      <c r="C69" s="11" t="n">
        <v>46.03122147658962</v>
      </c>
      <c r="D69" s="11" t="n">
        <v>69.55024288595654</v>
      </c>
      <c r="E69" s="11" t="n">
        <v>19.75428571428571</v>
      </c>
      <c r="F69" s="11" t="n">
        <v>195.3066939037994</v>
      </c>
    </row>
    <row r="71">
      <c r="B71" s="7" t="inlineStr">
        <is>
          <t>Column Labels</t>
        </is>
      </c>
    </row>
    <row r="72">
      <c r="B72" t="inlineStr">
        <is>
          <t xml:space="preserve"> High </t>
        </is>
      </c>
      <c r="E72" t="inlineStr">
        <is>
          <t xml:space="preserve"> Low </t>
        </is>
      </c>
      <c r="H72" t="inlineStr">
        <is>
          <t xml:space="preserve"> Medium </t>
        </is>
      </c>
      <c r="K72" t="inlineStr">
        <is>
          <t xml:space="preserve"> None </t>
        </is>
      </c>
      <c r="N72" t="inlineStr">
        <is>
          <t xml:space="preserve">Total Sum of   Sales </t>
        </is>
      </c>
      <c r="O72" t="inlineStr">
        <is>
          <t xml:space="preserve">Total Sum of  Profit </t>
        </is>
      </c>
      <c r="P72" t="inlineStr">
        <is>
          <t>Total Sum of Profit margin</t>
        </is>
      </c>
    </row>
    <row r="73">
      <c r="A73" s="7" t="inlineStr">
        <is>
          <t>Row Labels</t>
        </is>
      </c>
      <c r="B73" t="inlineStr">
        <is>
          <t xml:space="preserve">Sum of   Sales </t>
        </is>
      </c>
      <c r="C73" t="inlineStr">
        <is>
          <t xml:space="preserve">Sum of  Profit </t>
        </is>
      </c>
      <c r="D73" t="inlineStr">
        <is>
          <t>Sum of Profit margin</t>
        </is>
      </c>
      <c r="E73" t="inlineStr">
        <is>
          <t xml:space="preserve">Sum of   Sales </t>
        </is>
      </c>
      <c r="F73" t="inlineStr">
        <is>
          <t xml:space="preserve">Sum of  Profit </t>
        </is>
      </c>
      <c r="G73" t="inlineStr">
        <is>
          <t>Sum of Profit margin</t>
        </is>
      </c>
      <c r="H73" t="inlineStr">
        <is>
          <t xml:space="preserve">Sum of   Sales </t>
        </is>
      </c>
      <c r="I73" t="inlineStr">
        <is>
          <t xml:space="preserve">Sum of  Profit </t>
        </is>
      </c>
      <c r="J73" t="inlineStr">
        <is>
          <t>Sum of Profit margin</t>
        </is>
      </c>
      <c r="K73" t="inlineStr">
        <is>
          <t xml:space="preserve">Sum of   Sales </t>
        </is>
      </c>
      <c r="L73" t="inlineStr">
        <is>
          <t xml:space="preserve">Sum of  Profit </t>
        </is>
      </c>
      <c r="M73" t="inlineStr">
        <is>
          <t>Sum of Profit margin</t>
        </is>
      </c>
    </row>
    <row r="74">
      <c r="A74" s="8" t="inlineStr">
        <is>
          <t>Channel Partners</t>
        </is>
      </c>
      <c r="B74" s="68" t="n">
        <v>575293.38</v>
      </c>
      <c r="C74" s="68" t="n">
        <v>411133.3799999999</v>
      </c>
      <c r="D74" s="68" t="n">
        <v>0.7146499408701695</v>
      </c>
      <c r="E74" s="68" t="n">
        <v>420973.5</v>
      </c>
      <c r="F74" s="68" t="n">
        <v>313350</v>
      </c>
      <c r="G74" s="68" t="n">
        <v>0.7443461405527901</v>
      </c>
      <c r="H74" s="68" t="n">
        <v>582350.7600000001</v>
      </c>
      <c r="I74" s="68" t="n">
        <v>425837.76</v>
      </c>
      <c r="J74" s="68" t="n">
        <v>0.731239296399304</v>
      </c>
      <c r="K74" s="68" t="n">
        <v>221976</v>
      </c>
      <c r="L74" s="68" t="n">
        <v>166482</v>
      </c>
      <c r="M74" s="68" t="n">
        <v>0.75</v>
      </c>
      <c r="N74" s="68" t="n">
        <v>1800593.64</v>
      </c>
      <c r="O74" s="68" t="n">
        <v>1316803.14</v>
      </c>
      <c r="P74" s="68" t="n">
        <v>0.7313161119462802</v>
      </c>
    </row>
    <row r="75">
      <c r="A75" s="8" t="inlineStr">
        <is>
          <t>Enterprise</t>
        </is>
      </c>
      <c r="B75" s="68" t="n">
        <v>6528971.25</v>
      </c>
      <c r="C75" s="68" t="n">
        <v>-622368.75</v>
      </c>
      <c r="D75" s="68" t="n">
        <v>-0.09532416764739161</v>
      </c>
      <c r="E75" s="68" t="n">
        <v>5586255.63</v>
      </c>
      <c r="F75" s="68" t="n">
        <v>101775.63</v>
      </c>
      <c r="G75" s="68" t="n">
        <v>0.01821893531929186</v>
      </c>
      <c r="H75" s="68" t="n">
        <v>5115507.5</v>
      </c>
      <c r="I75" s="68" t="n">
        <v>-154952.5</v>
      </c>
      <c r="J75" s="68" t="n">
        <v>-0.03029073850443969</v>
      </c>
      <c r="K75" s="68" t="n">
        <v>1525000</v>
      </c>
      <c r="L75" s="68" t="n">
        <v>61000</v>
      </c>
      <c r="M75" s="68" t="n">
        <v>0.04</v>
      </c>
      <c r="N75" s="68" t="n">
        <v>18755734.38</v>
      </c>
      <c r="O75" s="68" t="n">
        <v>-614545.62</v>
      </c>
      <c r="P75" s="68" t="n">
        <v>-0.03276574553408662</v>
      </c>
    </row>
    <row r="76">
      <c r="A76" s="8" t="inlineStr">
        <is>
          <t>Government</t>
        </is>
      </c>
      <c r="B76" s="68" t="n">
        <v>16291390.7</v>
      </c>
      <c r="C76" s="68" t="n">
        <v>2757385.700000001</v>
      </c>
      <c r="D76" s="68" t="n">
        <v>0.1692541631820297</v>
      </c>
      <c r="E76" s="68" t="n">
        <v>16622003.58</v>
      </c>
      <c r="F76" s="68" t="n">
        <v>4087626.080000001</v>
      </c>
      <c r="G76" s="68" t="n">
        <v>0.2459165683803806</v>
      </c>
      <c r="H76" s="68" t="n">
        <v>15454138.4</v>
      </c>
      <c r="I76" s="68" t="n">
        <v>3425938.400000002</v>
      </c>
      <c r="J76" s="68" t="n">
        <v>0.2216842059600037</v>
      </c>
      <c r="K76" s="68" t="n">
        <v>4136728</v>
      </c>
      <c r="L76" s="68" t="n">
        <v>1117223</v>
      </c>
      <c r="M76" s="68" t="n">
        <v>0.2700740778702395</v>
      </c>
      <c r="N76" s="68" t="n">
        <v>52504260.67999999</v>
      </c>
      <c r="O76" s="68" t="n">
        <v>11388173.18</v>
      </c>
      <c r="P76" s="68" t="n">
        <v>0.2168999816873529</v>
      </c>
    </row>
    <row r="77">
      <c r="A77" s="8" t="inlineStr">
        <is>
          <t>Midmarket</t>
        </is>
      </c>
      <c r="B77" s="68" t="n">
        <v>945854.4099999998</v>
      </c>
      <c r="C77" s="68" t="n">
        <v>224739.41</v>
      </c>
      <c r="D77" s="68" t="n">
        <v>0.2376046541877413</v>
      </c>
      <c r="E77" s="68" t="n">
        <v>410392.5</v>
      </c>
      <c r="F77" s="68" t="n">
        <v>128912.5</v>
      </c>
      <c r="G77" s="68" t="n">
        <v>0.3141200192498644</v>
      </c>
      <c r="H77" s="68" t="n">
        <v>735086.1800000002</v>
      </c>
      <c r="I77" s="68" t="n">
        <v>209601.18</v>
      </c>
      <c r="J77" s="68" t="n">
        <v>0.285138240525757</v>
      </c>
      <c r="K77" s="68" t="n">
        <v>290550</v>
      </c>
      <c r="L77" s="68" t="n">
        <v>96850</v>
      </c>
      <c r="M77" s="68" t="n">
        <v>0.3333333333333333</v>
      </c>
      <c r="N77" s="68" t="n">
        <v>2381883.09</v>
      </c>
      <c r="O77" s="68" t="n">
        <v>660103.09</v>
      </c>
      <c r="P77" s="68" t="n">
        <v>0.2771349663513502</v>
      </c>
    </row>
    <row r="78">
      <c r="A78" s="8" t="inlineStr">
        <is>
          <t>Small Business</t>
        </is>
      </c>
      <c r="B78" s="68" t="n">
        <v>13030977</v>
      </c>
      <c r="C78" s="68" t="n">
        <v>617977</v>
      </c>
      <c r="D78" s="68" t="n">
        <v>0.04742368895286977</v>
      </c>
      <c r="E78" s="68" t="n">
        <v>10734193.5</v>
      </c>
      <c r="F78" s="68" t="n">
        <v>1557193.5</v>
      </c>
      <c r="G78" s="68" t="n">
        <v>0.1450685139968829</v>
      </c>
      <c r="H78" s="68" t="n">
        <v>16893348</v>
      </c>
      <c r="I78" s="68" t="n">
        <v>1673098</v>
      </c>
      <c r="J78" s="68" t="n">
        <v>0.09903886429143589</v>
      </c>
      <c r="K78" s="68" t="n">
        <v>1769400</v>
      </c>
      <c r="L78" s="68" t="n">
        <v>294900</v>
      </c>
      <c r="M78" s="68" t="n">
        <v>0.1666666666666667</v>
      </c>
      <c r="N78" s="68" t="n">
        <v>42427918.5</v>
      </c>
      <c r="O78" s="68" t="n">
        <v>4143168.5</v>
      </c>
      <c r="P78" s="68" t="n">
        <v>0.09765193878177172</v>
      </c>
    </row>
    <row r="79">
      <c r="A79" s="8" t="inlineStr">
        <is>
          <t>Grand Total</t>
        </is>
      </c>
      <c r="B79" s="68" t="n">
        <v>37372486.73999999</v>
      </c>
      <c r="C79" s="68" t="n">
        <v>3388866.740000001</v>
      </c>
      <c r="D79" s="68" t="n">
        <v>0.09067811739626296</v>
      </c>
      <c r="E79" s="68" t="n">
        <v>33773818.71</v>
      </c>
      <c r="F79" s="68" t="n">
        <v>6188857.710000001</v>
      </c>
      <c r="G79" s="68" t="n">
        <v>0.1832442390699386</v>
      </c>
      <c r="H79" s="68" t="n">
        <v>38780430.84</v>
      </c>
      <c r="I79" s="68" t="n">
        <v>5579522.840000002</v>
      </c>
      <c r="J79" s="68" t="n">
        <v>0.1438746996654047</v>
      </c>
      <c r="K79" s="68" t="n">
        <v>7943654</v>
      </c>
      <c r="L79" s="68" t="n">
        <v>1736455</v>
      </c>
      <c r="M79" s="68" t="n">
        <v>0.2185965048326627</v>
      </c>
      <c r="N79" s="68" t="n">
        <v>117870390.29</v>
      </c>
      <c r="O79" s="68" t="n">
        <v>16893702.29</v>
      </c>
      <c r="P79" s="68" t="n">
        <v>0.1433243942642077</v>
      </c>
    </row>
    <row r="81">
      <c r="A81" s="7" t="inlineStr">
        <is>
          <t>Row Labels</t>
        </is>
      </c>
      <c r="B81" t="inlineStr">
        <is>
          <t xml:space="preserve">Sum of   Sales </t>
        </is>
      </c>
      <c r="C81" t="inlineStr">
        <is>
          <t xml:space="preserve">Sum of  Profit </t>
        </is>
      </c>
      <c r="D81" t="inlineStr">
        <is>
          <t>Sum of Profit margin</t>
        </is>
      </c>
    </row>
    <row r="82">
      <c r="A82" s="8" t="inlineStr">
        <is>
          <t>Enterprise</t>
        </is>
      </c>
      <c r="B82" s="68" t="n">
        <v>18755734.38</v>
      </c>
      <c r="C82" s="68" t="n">
        <v>-614545.62</v>
      </c>
      <c r="D82" s="68" t="n">
        <v>-0.03276574553408663</v>
      </c>
    </row>
    <row r="83">
      <c r="A83" s="12" t="inlineStr">
        <is>
          <t xml:space="preserve"> Amarilla </t>
        </is>
      </c>
      <c r="B83" s="68" t="n">
        <v>2514727.5</v>
      </c>
      <c r="C83" s="68" t="n">
        <v>-95152.5</v>
      </c>
      <c r="D83" s="68" t="n">
        <v>-0.03783809577777314</v>
      </c>
    </row>
    <row r="84">
      <c r="A84" s="12" t="inlineStr">
        <is>
          <t xml:space="preserve"> Carretera </t>
        </is>
      </c>
      <c r="B84" s="68" t="n">
        <v>3203708.13</v>
      </c>
      <c r="C84" s="68" t="n">
        <v>-222711.87</v>
      </c>
      <c r="D84" s="68" t="n">
        <v>-0.06951690383855286</v>
      </c>
    </row>
    <row r="85">
      <c r="A85" s="12" t="inlineStr">
        <is>
          <t xml:space="preserve"> Montana </t>
        </is>
      </c>
      <c r="B85" s="68" t="n">
        <v>2478283.75</v>
      </c>
      <c r="C85" s="68" t="n">
        <v>-31096.25</v>
      </c>
      <c r="D85" s="68" t="n">
        <v>-0.01254749380493658</v>
      </c>
    </row>
    <row r="86">
      <c r="A86" s="12" t="inlineStr">
        <is>
          <t xml:space="preserve"> Paseo </t>
        </is>
      </c>
      <c r="B86" s="68" t="n">
        <v>4677340</v>
      </c>
      <c r="C86" s="68" t="n">
        <v>-81740</v>
      </c>
      <c r="D86" s="68" t="n">
        <v>-0.01747574476091112</v>
      </c>
    </row>
    <row r="87">
      <c r="A87" s="12" t="inlineStr">
        <is>
          <t xml:space="preserve"> Velo </t>
        </is>
      </c>
      <c r="B87" s="68" t="n">
        <v>3581237.5</v>
      </c>
      <c r="C87" s="68" t="n">
        <v>-84762.5</v>
      </c>
      <c r="D87" s="68" t="n">
        <v>-0.02366849447991093</v>
      </c>
    </row>
    <row r="88">
      <c r="A88" s="12" t="inlineStr">
        <is>
          <t xml:space="preserve"> VTT </t>
        </is>
      </c>
      <c r="B88" s="68" t="n">
        <v>2300437.5</v>
      </c>
      <c r="C88" s="68" t="n">
        <v>-99082.5</v>
      </c>
      <c r="D88" s="68" t="n">
        <v>-0.04307115494335317</v>
      </c>
    </row>
    <row r="89">
      <c r="A89" s="8" t="inlineStr">
        <is>
          <t>Grand Total</t>
        </is>
      </c>
      <c r="B89" s="68" t="n">
        <v>18755734.38</v>
      </c>
      <c r="C89" s="68" t="n">
        <v>-614545.62</v>
      </c>
      <c r="D89" s="68" t="n">
        <v>-0.03276574553408663</v>
      </c>
    </row>
    <row r="91">
      <c r="A91" s="7" t="inlineStr">
        <is>
          <t>Row Labels</t>
        </is>
      </c>
      <c r="B91" t="inlineStr">
        <is>
          <t xml:space="preserve">Sum of   Sales </t>
        </is>
      </c>
      <c r="C91" t="inlineStr">
        <is>
          <t xml:space="preserve">Sum of  Profit </t>
        </is>
      </c>
      <c r="D91" t="inlineStr">
        <is>
          <t>Sum of Profit margin</t>
        </is>
      </c>
    </row>
    <row r="92">
      <c r="A92" s="8" t="inlineStr">
        <is>
          <t>Enterprise</t>
        </is>
      </c>
      <c r="B92" s="68" t="n">
        <v>18755734.38</v>
      </c>
      <c r="C92" s="68" t="n">
        <v>-614545.62</v>
      </c>
      <c r="D92" s="68" t="n">
        <v>-0.03276574553408663</v>
      </c>
    </row>
    <row r="93">
      <c r="A93" s="12" t="inlineStr">
        <is>
          <t>Canada</t>
        </is>
      </c>
      <c r="B93" s="68" t="n">
        <v>3967491.25</v>
      </c>
      <c r="C93" s="68" t="n">
        <v>-121508.75</v>
      </c>
      <c r="D93" s="68" t="n">
        <v>-0.03062609148791444</v>
      </c>
    </row>
    <row r="94">
      <c r="A94" s="12" t="inlineStr">
        <is>
          <t>France</t>
        </is>
      </c>
      <c r="B94" s="68" t="n">
        <v>3532330.63</v>
      </c>
      <c r="C94" s="68" t="n">
        <v>-95749.37</v>
      </c>
      <c r="D94" s="68" t="n">
        <v>-0.02710657071192682</v>
      </c>
    </row>
    <row r="95">
      <c r="A95" s="12" t="inlineStr">
        <is>
          <t>Germany</t>
        </is>
      </c>
      <c r="B95" s="68" t="n">
        <v>3991426.25</v>
      </c>
      <c r="C95" s="68" t="n">
        <v>-101473.75</v>
      </c>
      <c r="D95" s="68" t="n">
        <v>-0.02542292996143922</v>
      </c>
    </row>
    <row r="96">
      <c r="A96" s="12" t="inlineStr">
        <is>
          <t>Mexico</t>
        </is>
      </c>
      <c r="B96" s="68" t="n">
        <v>2913881.25</v>
      </c>
      <c r="C96" s="68" t="n">
        <v>-120678.75</v>
      </c>
      <c r="D96" s="68" t="n">
        <v>-0.04141512287091315</v>
      </c>
    </row>
    <row r="97">
      <c r="A97" s="12" t="inlineStr">
        <is>
          <t>United States of America</t>
        </is>
      </c>
      <c r="B97" s="68" t="n">
        <v>4350605</v>
      </c>
      <c r="C97" s="68" t="n">
        <v>-175135</v>
      </c>
      <c r="D97" s="68" t="n">
        <v>-0.0402553208117032</v>
      </c>
    </row>
    <row r="98">
      <c r="A98" s="8" t="inlineStr">
        <is>
          <t>Grand Total</t>
        </is>
      </c>
      <c r="B98" s="68" t="n">
        <v>18755734.38</v>
      </c>
      <c r="C98" s="68" t="n">
        <v>-614545.62</v>
      </c>
      <c r="D98" s="68" t="n">
        <v>-0.03276574553408663</v>
      </c>
    </row>
    <row r="100">
      <c r="A100" s="7" t="inlineStr">
        <is>
          <t>Row Labels</t>
        </is>
      </c>
      <c r="B100" t="inlineStr">
        <is>
          <t xml:space="preserve">Sum of   Sales </t>
        </is>
      </c>
      <c r="C100" t="inlineStr">
        <is>
          <t xml:space="preserve">Sum of  Profit </t>
        </is>
      </c>
      <c r="D100" t="inlineStr">
        <is>
          <t>Sum of Profit margin</t>
        </is>
      </c>
    </row>
    <row r="101">
      <c r="A101" s="8" t="inlineStr">
        <is>
          <t>Enterprise</t>
        </is>
      </c>
      <c r="B101" s="68" t="n">
        <v>18755734.38</v>
      </c>
      <c r="C101" s="68" t="n">
        <v>-614545.62</v>
      </c>
      <c r="D101" s="68" t="n">
        <v>-0.03276574553408662</v>
      </c>
    </row>
    <row r="102">
      <c r="A102" s="12" t="n">
        <v>2013</v>
      </c>
      <c r="B102" s="68" t="n">
        <v>4049562.5</v>
      </c>
      <c r="C102" s="68" t="n">
        <v>-193757.5</v>
      </c>
      <c r="D102" s="68" t="n">
        <v>-0.04784652663096322</v>
      </c>
    </row>
    <row r="103">
      <c r="A103" s="12" t="n">
        <v>2014</v>
      </c>
      <c r="B103" s="68" t="n">
        <v>14706171.88</v>
      </c>
      <c r="C103" s="68" t="n">
        <v>-420788.12</v>
      </c>
      <c r="D103" s="68" t="n">
        <v>-0.02861302883126645</v>
      </c>
    </row>
    <row r="104">
      <c r="A104" s="8" t="inlineStr">
        <is>
          <t>Grand Total</t>
        </is>
      </c>
      <c r="B104" s="68" t="n">
        <v>18755734.38</v>
      </c>
      <c r="C104" s="68" t="n">
        <v>-614545.62</v>
      </c>
      <c r="D104" s="68" t="n">
        <v>-0.03276574553408662</v>
      </c>
    </row>
    <row r="106">
      <c r="A106" s="7" t="inlineStr">
        <is>
          <t>Row Labels</t>
        </is>
      </c>
      <c r="B106" t="inlineStr">
        <is>
          <t xml:space="preserve">Sum of  Manufacturing_Price </t>
        </is>
      </c>
      <c r="C106" t="inlineStr">
        <is>
          <t>Sum of unit cost</t>
        </is>
      </c>
    </row>
    <row r="107">
      <c r="A107" s="8" t="inlineStr">
        <is>
          <t xml:space="preserve"> Amarilla </t>
        </is>
      </c>
      <c r="B107" s="68" t="n">
        <v>24180</v>
      </c>
      <c r="C107" s="68" t="n">
        <v>95.98052398519201</v>
      </c>
    </row>
    <row r="108">
      <c r="A108" s="8" t="inlineStr">
        <is>
          <t xml:space="preserve"> Carretera </t>
        </is>
      </c>
      <c r="B108" s="68" t="n">
        <v>279</v>
      </c>
      <c r="C108" s="68" t="n">
        <v>81.63996976424281</v>
      </c>
    </row>
    <row r="109">
      <c r="A109" s="8" t="inlineStr">
        <is>
          <t xml:space="preserve"> Montana </t>
        </is>
      </c>
      <c r="B109" s="68" t="n">
        <v>460</v>
      </c>
      <c r="C109" s="68" t="n">
        <v>85.84533516268129</v>
      </c>
    </row>
    <row r="110">
      <c r="A110" s="8" t="inlineStr">
        <is>
          <t xml:space="preserve"> Paseo </t>
        </is>
      </c>
      <c r="B110" s="68" t="n">
        <v>1990</v>
      </c>
      <c r="C110" s="68" t="n">
        <v>82.87324585944074</v>
      </c>
    </row>
    <row r="111">
      <c r="A111" s="8" t="inlineStr">
        <is>
          <t xml:space="preserve"> Velo </t>
        </is>
      </c>
      <c r="B111" s="68" t="n">
        <v>13080</v>
      </c>
      <c r="C111" s="68" t="n">
        <v>98.16294339831737</v>
      </c>
    </row>
    <row r="112">
      <c r="A112" s="8" t="inlineStr">
        <is>
          <t xml:space="preserve"> VTT </t>
        </is>
      </c>
      <c r="B112" s="68" t="n">
        <v>27250</v>
      </c>
      <c r="C112" s="68" t="n">
        <v>103.5490126375287</v>
      </c>
    </row>
    <row r="113">
      <c r="A113" s="8" t="inlineStr">
        <is>
          <t>Grand Total</t>
        </is>
      </c>
      <c r="B113" s="68" t="n">
        <v>67239</v>
      </c>
      <c r="C113" s="68" t="n">
        <v>90.26470469922846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96"/>
  <sheetViews>
    <sheetView tabSelected="0" topLeftCell="L1" workbookViewId="0">
      <selection activeCell="B98" sqref="B98"/>
    </sheetView>
  </sheetViews>
  <sheetFormatPr baseColWidth="8" defaultRowHeight="14.4"/>
  <cols>
    <col width="15" bestFit="1" customWidth="1" min="1" max="1"/>
    <col width="20.77734375" bestFit="1" customWidth="1" min="2" max="2"/>
    <col width="10.44140625" bestFit="1" customWidth="1" min="3" max="3"/>
    <col width="15.6640625" bestFit="1" customWidth="1" min="4" max="4"/>
    <col width="12.33203125" bestFit="1" customWidth="1" min="5" max="5"/>
    <col width="20.5546875" bestFit="1" customWidth="1" style="69" min="6" max="6"/>
    <col width="12.21875" bestFit="1" customWidth="1" style="69" min="7" max="7"/>
    <col width="13.88671875" bestFit="1" customWidth="1" style="69" min="8" max="8"/>
    <col width="12.109375" bestFit="1" customWidth="1" style="5" min="9" max="9"/>
    <col width="13.88671875" bestFit="1" customWidth="1" min="10" max="10"/>
    <col width="12.21875" bestFit="1" customWidth="1" style="69" min="11" max="12"/>
    <col width="23.88671875" bestFit="1" customWidth="1" style="1" min="13" max="13"/>
    <col width="15.5546875" bestFit="1" customWidth="1" min="14" max="14"/>
    <col width="14.33203125" bestFit="1" customWidth="1" min="15" max="15"/>
    <col width="6.88671875" bestFit="1" customWidth="1" min="16" max="16"/>
    <col width="8.88671875" customWidth="1" style="10" min="18" max="18"/>
    <col width="8.88671875" customWidth="1" style="2" min="19" max="19"/>
    <col width="8.88671875" customWidth="1" style="3" min="20" max="20"/>
    <col width="12" bestFit="1" customWidth="1" min="22" max="22"/>
  </cols>
  <sheetData>
    <row r="1">
      <c r="A1" t="inlineStr">
        <is>
          <t>Segment</t>
        </is>
      </c>
      <c r="B1" t="inlineStr">
        <is>
          <t>Country</t>
        </is>
      </c>
      <c r="C1" t="inlineStr">
        <is>
          <t xml:space="preserve"> Product </t>
        </is>
      </c>
      <c r="D1" t="inlineStr">
        <is>
          <t>Discount_Band</t>
        </is>
      </c>
      <c r="E1" t="inlineStr">
        <is>
          <t xml:space="preserve"> Units_Sold </t>
        </is>
      </c>
      <c r="F1" s="69" t="inlineStr">
        <is>
          <t xml:space="preserve"> Manufacturing_Price </t>
        </is>
      </c>
      <c r="G1" s="69" t="inlineStr">
        <is>
          <t xml:space="preserve"> Sale_Price </t>
        </is>
      </c>
      <c r="H1" s="69" t="inlineStr">
        <is>
          <t xml:space="preserve"> Gross_Sales </t>
        </is>
      </c>
      <c r="I1" s="5" t="inlineStr">
        <is>
          <t xml:space="preserve"> Discounts </t>
        </is>
      </c>
      <c r="J1" t="inlineStr">
        <is>
          <t xml:space="preserve">  Sales </t>
        </is>
      </c>
      <c r="K1" s="69" t="inlineStr">
        <is>
          <t xml:space="preserve"> COGS </t>
        </is>
      </c>
      <c r="L1" s="69" t="inlineStr">
        <is>
          <t xml:space="preserve"> Profit </t>
        </is>
      </c>
      <c r="M1" s="1" t="inlineStr">
        <is>
          <t>Date</t>
        </is>
      </c>
      <c r="N1" t="inlineStr">
        <is>
          <t>Month_Number</t>
        </is>
      </c>
      <c r="O1" t="inlineStr">
        <is>
          <t xml:space="preserve"> Month_Name </t>
        </is>
      </c>
      <c r="P1" t="inlineStr">
        <is>
          <t>Year</t>
        </is>
      </c>
      <c r="Q1" t="inlineStr">
        <is>
          <t>is_fractional_units</t>
        </is>
      </c>
      <c r="R1" s="10" t="inlineStr">
        <is>
          <t>Profit_Margin</t>
        </is>
      </c>
      <c r="S1" s="2" t="inlineStr">
        <is>
          <t>Cogs_Ratio</t>
        </is>
      </c>
      <c r="T1" s="70" t="inlineStr">
        <is>
          <t>Discount_Ratio</t>
        </is>
      </c>
      <c r="U1" t="inlineStr">
        <is>
          <t>Average_selling_Price</t>
        </is>
      </c>
      <c r="V1" t="inlineStr">
        <is>
          <t>Unit_Profit</t>
        </is>
      </c>
      <c r="W1" t="inlineStr">
        <is>
          <t>Is_Loss</t>
        </is>
      </c>
    </row>
    <row r="2">
      <c r="A2" t="inlineStr">
        <is>
          <t>Government</t>
        </is>
      </c>
      <c r="B2" t="inlineStr">
        <is>
          <t>Canada</t>
        </is>
      </c>
      <c r="C2" t="inlineStr">
        <is>
          <t xml:space="preserve"> Carretera </t>
        </is>
      </c>
      <c r="D2" t="inlineStr">
        <is>
          <t xml:space="preserve"> None </t>
        </is>
      </c>
      <c r="E2" t="n">
        <v>1618.5</v>
      </c>
      <c r="F2" s="69" t="n">
        <v>3</v>
      </c>
      <c r="G2" s="69" t="n">
        <v>20</v>
      </c>
      <c r="H2" s="69" t="n">
        <v>32370</v>
      </c>
      <c r="I2" s="5" t="n">
        <v>0</v>
      </c>
      <c r="J2" s="69" t="n">
        <v>32370</v>
      </c>
      <c r="K2" s="69" t="n">
        <v>16185</v>
      </c>
      <c r="L2" s="69" t="n">
        <v>16185</v>
      </c>
      <c r="M2" s="1" t="n">
        <v>41640</v>
      </c>
      <c r="N2" t="n">
        <v>1</v>
      </c>
      <c r="O2" t="inlineStr">
        <is>
          <t xml:space="preserve"> January </t>
        </is>
      </c>
      <c r="P2" t="n">
        <v>2014</v>
      </c>
      <c r="Q2">
        <f>IF(Financials[[#This Row],[ Units_Sold ]]&lt;&gt;INT(Financials[[#This Row],[ Units_Sold ]]),1,0)</f>
        <v/>
      </c>
      <c r="R2" s="10">
        <f>Financials[[#This Row],[ Profit ]]/Financials[[#This Row],[  Sales ]]</f>
        <v/>
      </c>
      <c r="S2" s="2">
        <f>Financials[[#This Row],[ COGS ]]/Financials[[#This Row],[  Sales ]]</f>
        <v/>
      </c>
      <c r="T2" s="3">
        <f>Financials[[#This Row],[ Discounts ]]/Financials[[#This Row],[  Sales ]]</f>
        <v/>
      </c>
      <c r="U2">
        <f>Financials[[#This Row],[  Sales ]]/Financials[[#This Row],[ Units_Sold ]]</f>
        <v/>
      </c>
      <c r="V2">
        <f>Financials[[#This Row],[ Profit ]]/Financials[[#This Row],[ Units_Sold ]]</f>
        <v/>
      </c>
      <c r="W2">
        <f>IF(Financials[[#This Row],[ Profit ]]&lt;0,1,0)</f>
        <v/>
      </c>
    </row>
    <row r="3">
      <c r="A3" t="inlineStr">
        <is>
          <t>Government</t>
        </is>
      </c>
      <c r="B3" t="inlineStr">
        <is>
          <t>Germany</t>
        </is>
      </c>
      <c r="C3" t="inlineStr">
        <is>
          <t xml:space="preserve"> Carretera </t>
        </is>
      </c>
      <c r="D3" t="inlineStr">
        <is>
          <t xml:space="preserve"> None </t>
        </is>
      </c>
      <c r="E3" t="n">
        <v>1321</v>
      </c>
      <c r="F3" s="69" t="n">
        <v>3</v>
      </c>
      <c r="G3" s="69" t="n">
        <v>20</v>
      </c>
      <c r="H3" s="69" t="n">
        <v>26420</v>
      </c>
      <c r="I3" s="5" t="n">
        <v>0</v>
      </c>
      <c r="J3" s="69" t="n">
        <v>26420</v>
      </c>
      <c r="K3" s="69" t="n">
        <v>13210</v>
      </c>
      <c r="L3" s="69" t="n">
        <v>13210</v>
      </c>
      <c r="M3" s="1" t="n">
        <v>41640</v>
      </c>
      <c r="N3" t="n">
        <v>1</v>
      </c>
      <c r="O3" t="inlineStr">
        <is>
          <t xml:space="preserve"> January </t>
        </is>
      </c>
      <c r="P3" t="n">
        <v>2014</v>
      </c>
      <c r="Q3">
        <f>IF(Financials[[#This Row],[ Units_Sold ]]&lt;&gt;INT(Financials[[#This Row],[ Units_Sold ]]),1,0)</f>
        <v/>
      </c>
      <c r="R3" s="10">
        <f>Financials[[#This Row],[ Profit ]]/Financials[[#This Row],[  Sales ]]</f>
        <v/>
      </c>
      <c r="S3" s="2">
        <f>Financials[[#This Row],[ COGS ]]/Financials[[#This Row],[  Sales ]]</f>
        <v/>
      </c>
      <c r="T3" s="3">
        <f>Financials[[#This Row],[ Discounts ]]/Financials[[#This Row],[  Sales ]]</f>
        <v/>
      </c>
      <c r="U3">
        <f>Financials[[#This Row],[  Sales ]]/Financials[[#This Row],[ Units_Sold ]]</f>
        <v/>
      </c>
      <c r="V3">
        <f>Financials[[#This Row],[ Profit ]]/Financials[[#This Row],[ Units_Sold ]]</f>
        <v/>
      </c>
      <c r="W3">
        <f>IF(Financials[[#This Row],[ Profit ]]&lt;0,1,0)</f>
        <v/>
      </c>
    </row>
    <row r="4">
      <c r="A4" t="inlineStr">
        <is>
          <t>Midmarket</t>
        </is>
      </c>
      <c r="B4" t="inlineStr">
        <is>
          <t>France</t>
        </is>
      </c>
      <c r="C4" t="inlineStr">
        <is>
          <t xml:space="preserve"> Carretera </t>
        </is>
      </c>
      <c r="D4" t="inlineStr">
        <is>
          <t xml:space="preserve"> None </t>
        </is>
      </c>
      <c r="E4" t="n">
        <v>2178</v>
      </c>
      <c r="F4" s="69" t="n">
        <v>3</v>
      </c>
      <c r="G4" s="69" t="n">
        <v>15</v>
      </c>
      <c r="H4" s="69" t="n">
        <v>32670</v>
      </c>
      <c r="I4" s="5" t="n">
        <v>0</v>
      </c>
      <c r="J4" s="69" t="n">
        <v>32670</v>
      </c>
      <c r="K4" s="69" t="n">
        <v>21780</v>
      </c>
      <c r="L4" s="69" t="n">
        <v>10890</v>
      </c>
      <c r="M4" s="1" t="n">
        <v>41645</v>
      </c>
      <c r="N4" t="n">
        <v>6</v>
      </c>
      <c r="O4" t="inlineStr">
        <is>
          <t xml:space="preserve"> June </t>
        </is>
      </c>
      <c r="P4" t="n">
        <v>2014</v>
      </c>
      <c r="Q4">
        <f>IF(Financials[[#This Row],[ Units_Sold ]]&lt;&gt;INT(Financials[[#This Row],[ Units_Sold ]]),1,0)</f>
        <v/>
      </c>
      <c r="R4" s="10">
        <f>Financials[[#This Row],[ Profit ]]/Financials[[#This Row],[  Sales ]]</f>
        <v/>
      </c>
      <c r="S4" s="2">
        <f>Financials[[#This Row],[ COGS ]]/Financials[[#This Row],[  Sales ]]</f>
        <v/>
      </c>
      <c r="T4" s="3">
        <f>Financials[[#This Row],[ Discounts ]]/Financials[[#This Row],[  Sales ]]</f>
        <v/>
      </c>
      <c r="U4">
        <f>Financials[[#This Row],[  Sales ]]/Financials[[#This Row],[ Units_Sold ]]</f>
        <v/>
      </c>
      <c r="V4">
        <f>Financials[[#This Row],[ Profit ]]/Financials[[#This Row],[ Units_Sold ]]</f>
        <v/>
      </c>
      <c r="W4">
        <f>IF(Financials[[#This Row],[ Profit ]]&lt;0,1,0)</f>
        <v/>
      </c>
    </row>
    <row r="5">
      <c r="A5" t="inlineStr">
        <is>
          <t>Midmarket</t>
        </is>
      </c>
      <c r="B5" t="inlineStr">
        <is>
          <t>Germany</t>
        </is>
      </c>
      <c r="C5" t="inlineStr">
        <is>
          <t xml:space="preserve"> Carretera </t>
        </is>
      </c>
      <c r="D5" t="inlineStr">
        <is>
          <t xml:space="preserve"> None </t>
        </is>
      </c>
      <c r="E5" t="n">
        <v>888</v>
      </c>
      <c r="F5" s="69" t="n">
        <v>3</v>
      </c>
      <c r="G5" s="69" t="n">
        <v>15</v>
      </c>
      <c r="H5" s="69" t="n">
        <v>13320</v>
      </c>
      <c r="I5" s="5" t="n">
        <v>0</v>
      </c>
      <c r="J5" s="69" t="n">
        <v>13320</v>
      </c>
      <c r="K5" s="69" t="n">
        <v>8880</v>
      </c>
      <c r="L5" s="69" t="n">
        <v>4440</v>
      </c>
      <c r="M5" s="1" t="n">
        <v>41645</v>
      </c>
      <c r="N5" t="n">
        <v>6</v>
      </c>
      <c r="O5" t="inlineStr">
        <is>
          <t xml:space="preserve"> June </t>
        </is>
      </c>
      <c r="P5" t="n">
        <v>2014</v>
      </c>
      <c r="Q5">
        <f>IF(Financials[[#This Row],[ Units_Sold ]]&lt;&gt;INT(Financials[[#This Row],[ Units_Sold ]]),1,0)</f>
        <v/>
      </c>
      <c r="R5" s="10">
        <f>Financials[[#This Row],[ Profit ]]/Financials[[#This Row],[  Sales ]]</f>
        <v/>
      </c>
      <c r="S5" s="2">
        <f>Financials[[#This Row],[ COGS ]]/Financials[[#This Row],[  Sales ]]</f>
        <v/>
      </c>
      <c r="T5" s="3">
        <f>Financials[[#This Row],[ Discounts ]]/Financials[[#This Row],[  Sales ]]</f>
        <v/>
      </c>
      <c r="U5">
        <f>Financials[[#This Row],[  Sales ]]/Financials[[#This Row],[ Units_Sold ]]</f>
        <v/>
      </c>
      <c r="V5">
        <f>Financials[[#This Row],[ Profit ]]/Financials[[#This Row],[ Units_Sold ]]</f>
        <v/>
      </c>
      <c r="W5">
        <f>IF(Financials[[#This Row],[ Profit ]]&lt;0,1,0)</f>
        <v/>
      </c>
    </row>
    <row r="6">
      <c r="A6" t="inlineStr">
        <is>
          <t>Midmarket</t>
        </is>
      </c>
      <c r="B6" t="inlineStr">
        <is>
          <t>Mexico</t>
        </is>
      </c>
      <c r="C6" t="inlineStr">
        <is>
          <t xml:space="preserve"> Carretera </t>
        </is>
      </c>
      <c r="D6" t="inlineStr">
        <is>
          <t xml:space="preserve"> None </t>
        </is>
      </c>
      <c r="E6" t="n">
        <v>2470</v>
      </c>
      <c r="F6" s="69" t="n">
        <v>3</v>
      </c>
      <c r="G6" s="69" t="n">
        <v>15</v>
      </c>
      <c r="H6" s="69" t="n">
        <v>37050</v>
      </c>
      <c r="I6" s="5" t="n">
        <v>0</v>
      </c>
      <c r="J6" s="69" t="n">
        <v>37050</v>
      </c>
      <c r="K6" s="69" t="n">
        <v>24700</v>
      </c>
      <c r="L6" s="69" t="n">
        <v>12350</v>
      </c>
      <c r="M6" s="1" t="n">
        <v>41645</v>
      </c>
      <c r="N6" t="n">
        <v>6</v>
      </c>
      <c r="O6" t="inlineStr">
        <is>
          <t xml:space="preserve"> June </t>
        </is>
      </c>
      <c r="P6" t="n">
        <v>2014</v>
      </c>
      <c r="Q6">
        <f>IF(Financials[[#This Row],[ Units_Sold ]]&lt;&gt;INT(Financials[[#This Row],[ Units_Sold ]]),1,0)</f>
        <v/>
      </c>
      <c r="R6" s="10">
        <f>Financials[[#This Row],[ Profit ]]/Financials[[#This Row],[  Sales ]]</f>
        <v/>
      </c>
      <c r="S6" s="2">
        <f>Financials[[#This Row],[ COGS ]]/Financials[[#This Row],[  Sales ]]</f>
        <v/>
      </c>
      <c r="T6" s="3">
        <f>Financials[[#This Row],[ Discounts ]]/Financials[[#This Row],[  Sales ]]</f>
        <v/>
      </c>
      <c r="U6">
        <f>Financials[[#This Row],[  Sales ]]/Financials[[#This Row],[ Units_Sold ]]</f>
        <v/>
      </c>
      <c r="V6">
        <f>Financials[[#This Row],[ Profit ]]/Financials[[#This Row],[ Units_Sold ]]</f>
        <v/>
      </c>
      <c r="W6">
        <f>IF(Financials[[#This Row],[ Profit ]]&lt;0,1,0)</f>
        <v/>
      </c>
    </row>
    <row r="7">
      <c r="A7" t="inlineStr">
        <is>
          <t>Government</t>
        </is>
      </c>
      <c r="B7" t="inlineStr">
        <is>
          <t>Germany</t>
        </is>
      </c>
      <c r="C7" t="inlineStr">
        <is>
          <t xml:space="preserve"> Carretera </t>
        </is>
      </c>
      <c r="D7" t="inlineStr">
        <is>
          <t xml:space="preserve"> None </t>
        </is>
      </c>
      <c r="E7" t="n">
        <v>1513</v>
      </c>
      <c r="F7" s="69" t="n">
        <v>3</v>
      </c>
      <c r="G7" s="69" t="n">
        <v>350</v>
      </c>
      <c r="H7" s="69" t="n">
        <v>529550</v>
      </c>
      <c r="I7" s="5" t="n">
        <v>0</v>
      </c>
      <c r="J7" s="69" t="n">
        <v>529550</v>
      </c>
      <c r="K7" s="69" t="n">
        <v>393380</v>
      </c>
      <c r="L7" s="69" t="n">
        <v>136170</v>
      </c>
      <c r="M7" s="1" t="n">
        <v>41651</v>
      </c>
      <c r="N7" t="n">
        <v>12</v>
      </c>
      <c r="O7" t="inlineStr">
        <is>
          <t xml:space="preserve"> December </t>
        </is>
      </c>
      <c r="P7" t="n">
        <v>2014</v>
      </c>
      <c r="Q7">
        <f>IF(Financials[[#This Row],[ Units_Sold ]]&lt;&gt;INT(Financials[[#This Row],[ Units_Sold ]]),1,0)</f>
        <v/>
      </c>
      <c r="R7" s="10">
        <f>Financials[[#This Row],[ Profit ]]/Financials[[#This Row],[  Sales ]]</f>
        <v/>
      </c>
      <c r="S7" s="2">
        <f>Financials[[#This Row],[ COGS ]]/Financials[[#This Row],[  Sales ]]</f>
        <v/>
      </c>
      <c r="T7" s="3">
        <f>Financials[[#This Row],[ Discounts ]]/Financials[[#This Row],[  Sales ]]</f>
        <v/>
      </c>
      <c r="U7">
        <f>Financials[[#This Row],[  Sales ]]/Financials[[#This Row],[ Units_Sold ]]</f>
        <v/>
      </c>
      <c r="V7">
        <f>Financials[[#This Row],[ Profit ]]/Financials[[#This Row],[ Units_Sold ]]</f>
        <v/>
      </c>
      <c r="W7">
        <f>IF(Financials[[#This Row],[ Profit ]]&lt;0,1,0)</f>
        <v/>
      </c>
    </row>
    <row r="8">
      <c r="A8" t="inlineStr">
        <is>
          <t>Midmarket</t>
        </is>
      </c>
      <c r="B8" t="inlineStr">
        <is>
          <t>Germany</t>
        </is>
      </c>
      <c r="C8" t="inlineStr">
        <is>
          <t xml:space="preserve"> Montana </t>
        </is>
      </c>
      <c r="D8" t="inlineStr">
        <is>
          <t xml:space="preserve"> None </t>
        </is>
      </c>
      <c r="E8" t="n">
        <v>921</v>
      </c>
      <c r="F8" s="69" t="n">
        <v>5</v>
      </c>
      <c r="G8" s="69" t="n">
        <v>15</v>
      </c>
      <c r="H8" s="69" t="n">
        <v>13815</v>
      </c>
      <c r="I8" s="5" t="n">
        <v>0</v>
      </c>
      <c r="J8" s="69" t="n">
        <v>13815</v>
      </c>
      <c r="K8" s="69" t="n">
        <v>9210</v>
      </c>
      <c r="L8" s="69" t="n">
        <v>4605</v>
      </c>
      <c r="M8" s="1" t="n">
        <v>41642</v>
      </c>
      <c r="N8" t="n">
        <v>3</v>
      </c>
      <c r="O8" t="inlineStr">
        <is>
          <t xml:space="preserve"> March </t>
        </is>
      </c>
      <c r="P8" t="n">
        <v>2014</v>
      </c>
      <c r="Q8">
        <f>IF(Financials[[#This Row],[ Units_Sold ]]&lt;&gt;INT(Financials[[#This Row],[ Units_Sold ]]),1,0)</f>
        <v/>
      </c>
      <c r="R8" s="10">
        <f>Financials[[#This Row],[ Profit ]]/Financials[[#This Row],[  Sales ]]</f>
        <v/>
      </c>
      <c r="S8" s="2">
        <f>Financials[[#This Row],[ COGS ]]/Financials[[#This Row],[  Sales ]]</f>
        <v/>
      </c>
      <c r="T8" s="3">
        <f>Financials[[#This Row],[ Discounts ]]/Financials[[#This Row],[  Sales ]]</f>
        <v/>
      </c>
      <c r="U8">
        <f>Financials[[#This Row],[  Sales ]]/Financials[[#This Row],[ Units_Sold ]]</f>
        <v/>
      </c>
      <c r="V8">
        <f>Financials[[#This Row],[ Profit ]]/Financials[[#This Row],[ Units_Sold ]]</f>
        <v/>
      </c>
      <c r="W8">
        <f>IF(Financials[[#This Row],[ Profit ]]&lt;0,1,0)</f>
        <v/>
      </c>
    </row>
    <row r="9">
      <c r="A9" t="inlineStr">
        <is>
          <t>Channel Partners</t>
        </is>
      </c>
      <c r="B9" t="inlineStr">
        <is>
          <t>Canada</t>
        </is>
      </c>
      <c r="C9" t="inlineStr">
        <is>
          <t xml:space="preserve"> Montana </t>
        </is>
      </c>
      <c r="D9" t="inlineStr">
        <is>
          <t xml:space="preserve"> None </t>
        </is>
      </c>
      <c r="E9" t="n">
        <v>2518</v>
      </c>
      <c r="F9" s="69" t="n">
        <v>5</v>
      </c>
      <c r="G9" s="69" t="n">
        <v>12</v>
      </c>
      <c r="H9" s="69" t="n">
        <v>30216</v>
      </c>
      <c r="I9" s="5" t="n">
        <v>0</v>
      </c>
      <c r="J9" s="69" t="n">
        <v>30216</v>
      </c>
      <c r="K9" s="69" t="n">
        <v>7554</v>
      </c>
      <c r="L9" s="69" t="n">
        <v>22662</v>
      </c>
      <c r="M9" s="1" t="n">
        <v>41645</v>
      </c>
      <c r="N9" t="n">
        <v>6</v>
      </c>
      <c r="O9" t="inlineStr">
        <is>
          <t xml:space="preserve"> June </t>
        </is>
      </c>
      <c r="P9" t="n">
        <v>2014</v>
      </c>
      <c r="Q9">
        <f>IF(Financials[[#This Row],[ Units_Sold ]]&lt;&gt;INT(Financials[[#This Row],[ Units_Sold ]]),1,0)</f>
        <v/>
      </c>
      <c r="R9" s="10">
        <f>Financials[[#This Row],[ Profit ]]/Financials[[#This Row],[  Sales ]]</f>
        <v/>
      </c>
      <c r="S9" s="2">
        <f>Financials[[#This Row],[ COGS ]]/Financials[[#This Row],[  Sales ]]</f>
        <v/>
      </c>
      <c r="T9" s="3">
        <f>Financials[[#This Row],[ Discounts ]]/Financials[[#This Row],[  Sales ]]</f>
        <v/>
      </c>
      <c r="U9">
        <f>Financials[[#This Row],[  Sales ]]/Financials[[#This Row],[ Units_Sold ]]</f>
        <v/>
      </c>
      <c r="V9">
        <f>Financials[[#This Row],[ Profit ]]/Financials[[#This Row],[ Units_Sold ]]</f>
        <v/>
      </c>
      <c r="W9">
        <f>IF(Financials[[#This Row],[ Profit ]]&lt;0,1,0)</f>
        <v/>
      </c>
    </row>
    <row r="10">
      <c r="A10" t="inlineStr">
        <is>
          <t>Government</t>
        </is>
      </c>
      <c r="B10" t="inlineStr">
        <is>
          <t>France</t>
        </is>
      </c>
      <c r="C10" t="inlineStr">
        <is>
          <t xml:space="preserve"> Montana </t>
        </is>
      </c>
      <c r="D10" t="inlineStr">
        <is>
          <t xml:space="preserve"> None </t>
        </is>
      </c>
      <c r="E10" t="n">
        <v>1899</v>
      </c>
      <c r="F10" s="69" t="n">
        <v>5</v>
      </c>
      <c r="G10" s="69" t="n">
        <v>20</v>
      </c>
      <c r="H10" s="69" t="n">
        <v>37980</v>
      </c>
      <c r="I10" s="5" t="n">
        <v>0</v>
      </c>
      <c r="J10" s="69" t="n">
        <v>37980</v>
      </c>
      <c r="K10" s="69" t="n">
        <v>18990</v>
      </c>
      <c r="L10" s="69" t="n">
        <v>18990</v>
      </c>
      <c r="M10" s="1" t="n">
        <v>41645</v>
      </c>
      <c r="N10" t="n">
        <v>6</v>
      </c>
      <c r="O10" t="inlineStr">
        <is>
          <t xml:space="preserve"> June </t>
        </is>
      </c>
      <c r="P10" t="n">
        <v>2014</v>
      </c>
      <c r="Q10">
        <f>IF(Financials[[#This Row],[ Units_Sold ]]&lt;&gt;INT(Financials[[#This Row],[ Units_Sold ]]),1,0)</f>
        <v/>
      </c>
      <c r="R10" s="10">
        <f>Financials[[#This Row],[ Profit ]]/Financials[[#This Row],[  Sales ]]</f>
        <v/>
      </c>
      <c r="S10" s="2">
        <f>Financials[[#This Row],[ COGS ]]/Financials[[#This Row],[  Sales ]]</f>
        <v/>
      </c>
      <c r="T10" s="3">
        <f>Financials[[#This Row],[ Discounts ]]/Financials[[#This Row],[  Sales ]]</f>
        <v/>
      </c>
      <c r="U10">
        <f>Financials[[#This Row],[  Sales ]]/Financials[[#This Row],[ Units_Sold ]]</f>
        <v/>
      </c>
      <c r="V10">
        <f>Financials[[#This Row],[ Profit ]]/Financials[[#This Row],[ Units_Sold ]]</f>
        <v/>
      </c>
      <c r="W10">
        <f>IF(Financials[[#This Row],[ Profit ]]&lt;0,1,0)</f>
        <v/>
      </c>
    </row>
    <row r="11">
      <c r="A11" t="inlineStr">
        <is>
          <t>Channel Partners</t>
        </is>
      </c>
      <c r="B11" t="inlineStr">
        <is>
          <t>Germany</t>
        </is>
      </c>
      <c r="C11" t="inlineStr">
        <is>
          <t xml:space="preserve"> Montana </t>
        </is>
      </c>
      <c r="D11" t="inlineStr">
        <is>
          <t xml:space="preserve"> None </t>
        </is>
      </c>
      <c r="E11" t="n">
        <v>1545</v>
      </c>
      <c r="F11" s="69" t="n">
        <v>5</v>
      </c>
      <c r="G11" s="69" t="n">
        <v>12</v>
      </c>
      <c r="H11" s="69" t="n">
        <v>18540</v>
      </c>
      <c r="I11" s="5" t="n">
        <v>0</v>
      </c>
      <c r="J11" s="69" t="n">
        <v>18540</v>
      </c>
      <c r="K11" s="69" t="n">
        <v>4635</v>
      </c>
      <c r="L11" s="69" t="n">
        <v>13905</v>
      </c>
      <c r="M11" s="1" t="n">
        <v>41645</v>
      </c>
      <c r="N11" t="n">
        <v>6</v>
      </c>
      <c r="O11" t="inlineStr">
        <is>
          <t xml:space="preserve"> June </t>
        </is>
      </c>
      <c r="P11" t="n">
        <v>2014</v>
      </c>
      <c r="Q11">
        <f>IF(Financials[[#This Row],[ Units_Sold ]]&lt;&gt;INT(Financials[[#This Row],[ Units_Sold ]]),1,0)</f>
        <v/>
      </c>
      <c r="R11" s="10">
        <f>Financials[[#This Row],[ Profit ]]/Financials[[#This Row],[  Sales ]]</f>
        <v/>
      </c>
      <c r="S11" s="2">
        <f>Financials[[#This Row],[ COGS ]]/Financials[[#This Row],[  Sales ]]</f>
        <v/>
      </c>
      <c r="T11" s="3">
        <f>Financials[[#This Row],[ Discounts ]]/Financials[[#This Row],[  Sales ]]</f>
        <v/>
      </c>
      <c r="U11">
        <f>Financials[[#This Row],[  Sales ]]/Financials[[#This Row],[ Units_Sold ]]</f>
        <v/>
      </c>
      <c r="V11">
        <f>Financials[[#This Row],[ Profit ]]/Financials[[#This Row],[ Units_Sold ]]</f>
        <v/>
      </c>
      <c r="W11">
        <f>IF(Financials[[#This Row],[ Profit ]]&lt;0,1,0)</f>
        <v/>
      </c>
    </row>
    <row r="12">
      <c r="A12" t="inlineStr">
        <is>
          <t>Midmarket</t>
        </is>
      </c>
      <c r="B12" t="inlineStr">
        <is>
          <t>Mexico</t>
        </is>
      </c>
      <c r="C12" t="inlineStr">
        <is>
          <t xml:space="preserve"> Montana </t>
        </is>
      </c>
      <c r="D12" t="inlineStr">
        <is>
          <t xml:space="preserve"> None </t>
        </is>
      </c>
      <c r="E12" t="n">
        <v>2470</v>
      </c>
      <c r="F12" s="69" t="n">
        <v>5</v>
      </c>
      <c r="G12" s="69" t="n">
        <v>15</v>
      </c>
      <c r="H12" s="69" t="n">
        <v>37050</v>
      </c>
      <c r="I12" s="5" t="n">
        <v>0</v>
      </c>
      <c r="J12" s="69" t="n">
        <v>37050</v>
      </c>
      <c r="K12" s="69" t="n">
        <v>24700</v>
      </c>
      <c r="L12" s="69" t="n">
        <v>12350</v>
      </c>
      <c r="M12" s="1" t="n">
        <v>41645</v>
      </c>
      <c r="N12" t="n">
        <v>6</v>
      </c>
      <c r="O12" t="inlineStr">
        <is>
          <t xml:space="preserve"> June </t>
        </is>
      </c>
      <c r="P12" t="n">
        <v>2014</v>
      </c>
      <c r="Q12">
        <f>IF(Financials[[#This Row],[ Units_Sold ]]&lt;&gt;INT(Financials[[#This Row],[ Units_Sold ]]),1,0)</f>
        <v/>
      </c>
      <c r="R12" s="10">
        <f>Financials[[#This Row],[ Profit ]]/Financials[[#This Row],[  Sales ]]</f>
        <v/>
      </c>
      <c r="S12" s="2">
        <f>Financials[[#This Row],[ COGS ]]/Financials[[#This Row],[  Sales ]]</f>
        <v/>
      </c>
      <c r="T12" s="3">
        <f>Financials[[#This Row],[ Discounts ]]/Financials[[#This Row],[  Sales ]]</f>
        <v/>
      </c>
      <c r="U12">
        <f>Financials[[#This Row],[  Sales ]]/Financials[[#This Row],[ Units_Sold ]]</f>
        <v/>
      </c>
      <c r="V12">
        <f>Financials[[#This Row],[ Profit ]]/Financials[[#This Row],[ Units_Sold ]]</f>
        <v/>
      </c>
      <c r="W12">
        <f>IF(Financials[[#This Row],[ Profit ]]&lt;0,1,0)</f>
        <v/>
      </c>
    </row>
    <row r="13">
      <c r="A13" t="inlineStr">
        <is>
          <t>Enterprise</t>
        </is>
      </c>
      <c r="B13" t="inlineStr">
        <is>
          <t>Canada</t>
        </is>
      </c>
      <c r="C13" t="inlineStr">
        <is>
          <t xml:space="preserve"> Montana </t>
        </is>
      </c>
      <c r="D13" t="inlineStr">
        <is>
          <t xml:space="preserve"> None </t>
        </is>
      </c>
      <c r="E13" t="n">
        <v>2665.5</v>
      </c>
      <c r="F13" s="69" t="n">
        <v>5</v>
      </c>
      <c r="G13" s="69" t="n">
        <v>125</v>
      </c>
      <c r="H13" s="69" t="n">
        <v>333187.5</v>
      </c>
      <c r="I13" s="5" t="n">
        <v>0</v>
      </c>
      <c r="J13" s="69" t="n">
        <v>333187.5</v>
      </c>
      <c r="K13" s="69" t="n">
        <v>319860</v>
      </c>
      <c r="L13" s="69" t="n">
        <v>13327.5</v>
      </c>
      <c r="M13" s="1" t="n">
        <v>41646</v>
      </c>
      <c r="N13" t="n">
        <v>7</v>
      </c>
      <c r="O13" t="inlineStr">
        <is>
          <t xml:space="preserve"> July </t>
        </is>
      </c>
      <c r="P13" t="n">
        <v>2014</v>
      </c>
      <c r="Q13">
        <f>IF(Financials[[#This Row],[ Units_Sold ]]&lt;&gt;INT(Financials[[#This Row],[ Units_Sold ]]),1,0)</f>
        <v/>
      </c>
      <c r="R13" s="10">
        <f>Financials[[#This Row],[ Profit ]]/Financials[[#This Row],[  Sales ]]</f>
        <v/>
      </c>
      <c r="S13" s="2">
        <f>Financials[[#This Row],[ COGS ]]/Financials[[#This Row],[  Sales ]]</f>
        <v/>
      </c>
      <c r="T13" s="3">
        <f>Financials[[#This Row],[ Discounts ]]/Financials[[#This Row],[  Sales ]]</f>
        <v/>
      </c>
      <c r="U13">
        <f>Financials[[#This Row],[  Sales ]]/Financials[[#This Row],[ Units_Sold ]]</f>
        <v/>
      </c>
      <c r="V13">
        <f>Financials[[#This Row],[ Profit ]]/Financials[[#This Row],[ Units_Sold ]]</f>
        <v/>
      </c>
      <c r="W13">
        <f>IF(Financials[[#This Row],[ Profit ]]&lt;0,1,0)</f>
        <v/>
      </c>
    </row>
    <row r="14">
      <c r="A14" t="inlineStr">
        <is>
          <t>Small Business</t>
        </is>
      </c>
      <c r="B14" t="inlineStr">
        <is>
          <t>Mexico</t>
        </is>
      </c>
      <c r="C14" t="inlineStr">
        <is>
          <t xml:space="preserve"> Montana </t>
        </is>
      </c>
      <c r="D14" t="inlineStr">
        <is>
          <t xml:space="preserve"> None </t>
        </is>
      </c>
      <c r="E14" t="n">
        <v>958</v>
      </c>
      <c r="F14" s="69" t="n">
        <v>5</v>
      </c>
      <c r="G14" s="69" t="n">
        <v>300</v>
      </c>
      <c r="H14" s="69" t="n">
        <v>287400</v>
      </c>
      <c r="I14" s="5" t="n">
        <v>0</v>
      </c>
      <c r="J14" s="69" t="n">
        <v>287400</v>
      </c>
      <c r="K14" s="69" t="n">
        <v>239500</v>
      </c>
      <c r="L14" s="69" t="n">
        <v>47900</v>
      </c>
      <c r="M14" s="1" t="n">
        <v>41647</v>
      </c>
      <c r="N14" t="n">
        <v>8</v>
      </c>
      <c r="O14" t="inlineStr">
        <is>
          <t xml:space="preserve"> August </t>
        </is>
      </c>
      <c r="P14" t="n">
        <v>2014</v>
      </c>
      <c r="Q14">
        <f>IF(Financials[[#This Row],[ Units_Sold ]]&lt;&gt;INT(Financials[[#This Row],[ Units_Sold ]]),1,0)</f>
        <v/>
      </c>
      <c r="R14" s="10">
        <f>Financials[[#This Row],[ Profit ]]/Financials[[#This Row],[  Sales ]]</f>
        <v/>
      </c>
      <c r="S14" s="2">
        <f>Financials[[#This Row],[ COGS ]]/Financials[[#This Row],[  Sales ]]</f>
        <v/>
      </c>
      <c r="T14" s="3">
        <f>Financials[[#This Row],[ Discounts ]]/Financials[[#This Row],[  Sales ]]</f>
        <v/>
      </c>
      <c r="U14">
        <f>Financials[[#This Row],[  Sales ]]/Financials[[#This Row],[ Units_Sold ]]</f>
        <v/>
      </c>
      <c r="V14">
        <f>Financials[[#This Row],[ Profit ]]/Financials[[#This Row],[ Units_Sold ]]</f>
        <v/>
      </c>
      <c r="W14">
        <f>IF(Financials[[#This Row],[ Profit ]]&lt;0,1,0)</f>
        <v/>
      </c>
    </row>
    <row r="15">
      <c r="A15" t="inlineStr">
        <is>
          <t>Government</t>
        </is>
      </c>
      <c r="B15" t="inlineStr">
        <is>
          <t>Germany</t>
        </is>
      </c>
      <c r="C15" t="inlineStr">
        <is>
          <t xml:space="preserve"> Montana </t>
        </is>
      </c>
      <c r="D15" t="inlineStr">
        <is>
          <t xml:space="preserve"> None </t>
        </is>
      </c>
      <c r="E15" t="n">
        <v>2146</v>
      </c>
      <c r="F15" s="69" t="n">
        <v>5</v>
      </c>
      <c r="G15" s="69" t="n">
        <v>7</v>
      </c>
      <c r="H15" s="69" t="n">
        <v>15022</v>
      </c>
      <c r="I15" s="5" t="n">
        <v>0</v>
      </c>
      <c r="J15" s="69" t="n">
        <v>15022</v>
      </c>
      <c r="K15" s="69" t="n">
        <v>10730</v>
      </c>
      <c r="L15" s="69" t="n">
        <v>4292</v>
      </c>
      <c r="M15" s="1" t="n">
        <v>41648</v>
      </c>
      <c r="N15" t="n">
        <v>9</v>
      </c>
      <c r="O15" t="inlineStr">
        <is>
          <t xml:space="preserve"> September </t>
        </is>
      </c>
      <c r="P15" t="n">
        <v>2014</v>
      </c>
      <c r="Q15">
        <f>IF(Financials[[#This Row],[ Units_Sold ]]&lt;&gt;INT(Financials[[#This Row],[ Units_Sold ]]),1,0)</f>
        <v/>
      </c>
      <c r="R15" s="10">
        <f>Financials[[#This Row],[ Profit ]]/Financials[[#This Row],[  Sales ]]</f>
        <v/>
      </c>
      <c r="S15" s="2">
        <f>Financials[[#This Row],[ COGS ]]/Financials[[#This Row],[  Sales ]]</f>
        <v/>
      </c>
      <c r="T15" s="3">
        <f>Financials[[#This Row],[ Discounts ]]/Financials[[#This Row],[  Sales ]]</f>
        <v/>
      </c>
      <c r="U15">
        <f>Financials[[#This Row],[  Sales ]]/Financials[[#This Row],[ Units_Sold ]]</f>
        <v/>
      </c>
      <c r="V15">
        <f>Financials[[#This Row],[ Profit ]]/Financials[[#This Row],[ Units_Sold ]]</f>
        <v/>
      </c>
      <c r="W15">
        <f>IF(Financials[[#This Row],[ Profit ]]&lt;0,1,0)</f>
        <v/>
      </c>
    </row>
    <row r="16">
      <c r="A16" t="inlineStr">
        <is>
          <t>Enterprise</t>
        </is>
      </c>
      <c r="B16" t="inlineStr">
        <is>
          <t>Canada</t>
        </is>
      </c>
      <c r="C16" t="inlineStr">
        <is>
          <t xml:space="preserve"> Montana </t>
        </is>
      </c>
      <c r="D16" t="inlineStr">
        <is>
          <t xml:space="preserve"> None </t>
        </is>
      </c>
      <c r="E16" t="n">
        <v>345</v>
      </c>
      <c r="F16" s="69" t="n">
        <v>5</v>
      </c>
      <c r="G16" s="69" t="n">
        <v>125</v>
      </c>
      <c r="H16" s="69" t="n">
        <v>43125</v>
      </c>
      <c r="I16" s="5" t="n">
        <v>0</v>
      </c>
      <c r="J16" s="69" t="n">
        <v>43125</v>
      </c>
      <c r="K16" s="69" t="n">
        <v>41400</v>
      </c>
      <c r="L16" s="69" t="n">
        <v>1725</v>
      </c>
      <c r="M16" s="1" t="n">
        <v>41284</v>
      </c>
      <c r="N16" t="n">
        <v>10</v>
      </c>
      <c r="O16" t="inlineStr">
        <is>
          <t xml:space="preserve"> October </t>
        </is>
      </c>
      <c r="P16" t="n">
        <v>2013</v>
      </c>
      <c r="Q16">
        <f>IF(Financials[[#This Row],[ Units_Sold ]]&lt;&gt;INT(Financials[[#This Row],[ Units_Sold ]]),1,0)</f>
        <v/>
      </c>
      <c r="R16" s="10">
        <f>Financials[[#This Row],[ Profit ]]/Financials[[#This Row],[  Sales ]]</f>
        <v/>
      </c>
      <c r="S16" s="2">
        <f>Financials[[#This Row],[ COGS ]]/Financials[[#This Row],[  Sales ]]</f>
        <v/>
      </c>
      <c r="T16" s="3">
        <f>Financials[[#This Row],[ Discounts ]]/Financials[[#This Row],[  Sales ]]</f>
        <v/>
      </c>
      <c r="U16">
        <f>Financials[[#This Row],[  Sales ]]/Financials[[#This Row],[ Units_Sold ]]</f>
        <v/>
      </c>
      <c r="V16">
        <f>Financials[[#This Row],[ Profit ]]/Financials[[#This Row],[ Units_Sold ]]</f>
        <v/>
      </c>
      <c r="W16">
        <f>IF(Financials[[#This Row],[ Profit ]]&lt;0,1,0)</f>
        <v/>
      </c>
    </row>
    <row r="17">
      <c r="A17" t="inlineStr">
        <is>
          <t>Midmarket</t>
        </is>
      </c>
      <c r="B17" t="inlineStr">
        <is>
          <t>United States of America</t>
        </is>
      </c>
      <c r="C17" t="inlineStr">
        <is>
          <t xml:space="preserve"> Montana </t>
        </is>
      </c>
      <c r="D17" t="inlineStr">
        <is>
          <t xml:space="preserve"> None </t>
        </is>
      </c>
      <c r="E17" t="n">
        <v>615</v>
      </c>
      <c r="F17" s="69" t="n">
        <v>5</v>
      </c>
      <c r="G17" s="69" t="n">
        <v>15</v>
      </c>
      <c r="H17" s="69" t="n">
        <v>9225</v>
      </c>
      <c r="I17" s="5" t="n">
        <v>0</v>
      </c>
      <c r="J17" s="69" t="n">
        <v>9225</v>
      </c>
      <c r="K17" s="69" t="n">
        <v>6150</v>
      </c>
      <c r="L17" s="69" t="n">
        <v>3075</v>
      </c>
      <c r="M17" s="1" t="n">
        <v>41651</v>
      </c>
      <c r="N17" t="n">
        <v>12</v>
      </c>
      <c r="O17" t="inlineStr">
        <is>
          <t xml:space="preserve"> December </t>
        </is>
      </c>
      <c r="P17" t="n">
        <v>2014</v>
      </c>
      <c r="Q17">
        <f>IF(Financials[[#This Row],[ Units_Sold ]]&lt;&gt;INT(Financials[[#This Row],[ Units_Sold ]]),1,0)</f>
        <v/>
      </c>
      <c r="R17" s="10">
        <f>Financials[[#This Row],[ Profit ]]/Financials[[#This Row],[  Sales ]]</f>
        <v/>
      </c>
      <c r="S17" s="2">
        <f>Financials[[#This Row],[ COGS ]]/Financials[[#This Row],[  Sales ]]</f>
        <v/>
      </c>
      <c r="T17" s="3">
        <f>Financials[[#This Row],[ Discounts ]]/Financials[[#This Row],[  Sales ]]</f>
        <v/>
      </c>
      <c r="U17">
        <f>Financials[[#This Row],[  Sales ]]/Financials[[#This Row],[ Units_Sold ]]</f>
        <v/>
      </c>
      <c r="V17">
        <f>Financials[[#This Row],[ Profit ]]/Financials[[#This Row],[ Units_Sold ]]</f>
        <v/>
      </c>
      <c r="W17">
        <f>IF(Financials[[#This Row],[ Profit ]]&lt;0,1,0)</f>
        <v/>
      </c>
    </row>
    <row r="18">
      <c r="A18" t="inlineStr">
        <is>
          <t>Government</t>
        </is>
      </c>
      <c r="B18" t="inlineStr">
        <is>
          <t>Canada</t>
        </is>
      </c>
      <c r="C18" t="inlineStr">
        <is>
          <t xml:space="preserve"> Paseo </t>
        </is>
      </c>
      <c r="D18" t="inlineStr">
        <is>
          <t xml:space="preserve"> None </t>
        </is>
      </c>
      <c r="E18" t="n">
        <v>292</v>
      </c>
      <c r="F18" s="69" t="n">
        <v>10</v>
      </c>
      <c r="G18" s="69" t="n">
        <v>20</v>
      </c>
      <c r="H18" s="69" t="n">
        <v>5840</v>
      </c>
      <c r="I18" s="5" t="n">
        <v>0</v>
      </c>
      <c r="J18" s="69" t="n">
        <v>5840</v>
      </c>
      <c r="K18" s="69" t="n">
        <v>2920</v>
      </c>
      <c r="L18" s="69" t="n">
        <v>2920</v>
      </c>
      <c r="M18" s="1" t="n">
        <v>41641</v>
      </c>
      <c r="N18" t="n">
        <v>2</v>
      </c>
      <c r="O18" t="inlineStr">
        <is>
          <t xml:space="preserve"> February </t>
        </is>
      </c>
      <c r="P18" t="n">
        <v>2014</v>
      </c>
      <c r="Q18">
        <f>IF(Financials[[#This Row],[ Units_Sold ]]&lt;&gt;INT(Financials[[#This Row],[ Units_Sold ]]),1,0)</f>
        <v/>
      </c>
      <c r="R18" s="10">
        <f>Financials[[#This Row],[ Profit ]]/Financials[[#This Row],[  Sales ]]</f>
        <v/>
      </c>
      <c r="S18" s="2">
        <f>Financials[[#This Row],[ COGS ]]/Financials[[#This Row],[  Sales ]]</f>
        <v/>
      </c>
      <c r="T18" s="3">
        <f>Financials[[#This Row],[ Discounts ]]/Financials[[#This Row],[  Sales ]]</f>
        <v/>
      </c>
      <c r="U18">
        <f>Financials[[#This Row],[  Sales ]]/Financials[[#This Row],[ Units_Sold ]]</f>
        <v/>
      </c>
      <c r="V18">
        <f>Financials[[#This Row],[ Profit ]]/Financials[[#This Row],[ Units_Sold ]]</f>
        <v/>
      </c>
      <c r="W18">
        <f>IF(Financials[[#This Row],[ Profit ]]&lt;0,1,0)</f>
        <v/>
      </c>
    </row>
    <row r="19">
      <c r="A19" t="inlineStr">
        <is>
          <t>Midmarket</t>
        </is>
      </c>
      <c r="B19" t="inlineStr">
        <is>
          <t>Mexico</t>
        </is>
      </c>
      <c r="C19" t="inlineStr">
        <is>
          <t xml:space="preserve"> Paseo </t>
        </is>
      </c>
      <c r="D19" t="inlineStr">
        <is>
          <t xml:space="preserve"> None </t>
        </is>
      </c>
      <c r="E19" t="n">
        <v>974</v>
      </c>
      <c r="F19" s="69" t="n">
        <v>10</v>
      </c>
      <c r="G19" s="69" t="n">
        <v>15</v>
      </c>
      <c r="H19" s="69" t="n">
        <v>14610</v>
      </c>
      <c r="I19" s="5" t="n">
        <v>0</v>
      </c>
      <c r="J19" s="69" t="n">
        <v>14610</v>
      </c>
      <c r="K19" s="69" t="n">
        <v>9740</v>
      </c>
      <c r="L19" s="69" t="n">
        <v>4870</v>
      </c>
      <c r="M19" s="1" t="n">
        <v>41641</v>
      </c>
      <c r="N19" t="n">
        <v>2</v>
      </c>
      <c r="O19" t="inlineStr">
        <is>
          <t xml:space="preserve"> February </t>
        </is>
      </c>
      <c r="P19" t="n">
        <v>2014</v>
      </c>
      <c r="Q19">
        <f>IF(Financials[[#This Row],[ Units_Sold ]]&lt;&gt;INT(Financials[[#This Row],[ Units_Sold ]]),1,0)</f>
        <v/>
      </c>
      <c r="R19" s="10">
        <f>Financials[[#This Row],[ Profit ]]/Financials[[#This Row],[  Sales ]]</f>
        <v/>
      </c>
      <c r="S19" s="2">
        <f>Financials[[#This Row],[ COGS ]]/Financials[[#This Row],[  Sales ]]</f>
        <v/>
      </c>
      <c r="T19" s="3">
        <f>Financials[[#This Row],[ Discounts ]]/Financials[[#This Row],[  Sales ]]</f>
        <v/>
      </c>
      <c r="U19">
        <f>Financials[[#This Row],[  Sales ]]/Financials[[#This Row],[ Units_Sold ]]</f>
        <v/>
      </c>
      <c r="V19">
        <f>Financials[[#This Row],[ Profit ]]/Financials[[#This Row],[ Units_Sold ]]</f>
        <v/>
      </c>
      <c r="W19">
        <f>IF(Financials[[#This Row],[ Profit ]]&lt;0,1,0)</f>
        <v/>
      </c>
    </row>
    <row r="20">
      <c r="A20" t="inlineStr">
        <is>
          <t>Channel Partners</t>
        </is>
      </c>
      <c r="B20" t="inlineStr">
        <is>
          <t>Canada</t>
        </is>
      </c>
      <c r="C20" t="inlineStr">
        <is>
          <t xml:space="preserve"> Paseo </t>
        </is>
      </c>
      <c r="D20" t="inlineStr">
        <is>
          <t xml:space="preserve"> None </t>
        </is>
      </c>
      <c r="E20" t="n">
        <v>2518</v>
      </c>
      <c r="F20" s="69" t="n">
        <v>10</v>
      </c>
      <c r="G20" s="69" t="n">
        <v>12</v>
      </c>
      <c r="H20" s="69" t="n">
        <v>30216</v>
      </c>
      <c r="I20" s="5" t="n">
        <v>0</v>
      </c>
      <c r="J20" s="69" t="n">
        <v>30216</v>
      </c>
      <c r="K20" s="69" t="n">
        <v>7554</v>
      </c>
      <c r="L20" s="69" t="n">
        <v>22662</v>
      </c>
      <c r="M20" s="1" t="n">
        <v>41645</v>
      </c>
      <c r="N20" t="n">
        <v>6</v>
      </c>
      <c r="O20" t="inlineStr">
        <is>
          <t xml:space="preserve"> June </t>
        </is>
      </c>
      <c r="P20" t="n">
        <v>2014</v>
      </c>
      <c r="Q20">
        <f>IF(Financials[[#This Row],[ Units_Sold ]]&lt;&gt;INT(Financials[[#This Row],[ Units_Sold ]]),1,0)</f>
        <v/>
      </c>
      <c r="R20" s="10">
        <f>Financials[[#This Row],[ Profit ]]/Financials[[#This Row],[  Sales ]]</f>
        <v/>
      </c>
      <c r="S20" s="2">
        <f>Financials[[#This Row],[ COGS ]]/Financials[[#This Row],[  Sales ]]</f>
        <v/>
      </c>
      <c r="T20" s="3">
        <f>Financials[[#This Row],[ Discounts ]]/Financials[[#This Row],[  Sales ]]</f>
        <v/>
      </c>
      <c r="U20">
        <f>Financials[[#This Row],[  Sales ]]/Financials[[#This Row],[ Units_Sold ]]</f>
        <v/>
      </c>
      <c r="V20">
        <f>Financials[[#This Row],[ Profit ]]/Financials[[#This Row],[ Units_Sold ]]</f>
        <v/>
      </c>
      <c r="W20">
        <f>IF(Financials[[#This Row],[ Profit ]]&lt;0,1,0)</f>
        <v/>
      </c>
    </row>
    <row r="21">
      <c r="A21" t="inlineStr">
        <is>
          <t>Government</t>
        </is>
      </c>
      <c r="B21" t="inlineStr">
        <is>
          <t>Germany</t>
        </is>
      </c>
      <c r="C21" t="inlineStr">
        <is>
          <t xml:space="preserve"> Paseo </t>
        </is>
      </c>
      <c r="D21" t="inlineStr">
        <is>
          <t xml:space="preserve"> None </t>
        </is>
      </c>
      <c r="E21" t="n">
        <v>1006</v>
      </c>
      <c r="F21" s="69" t="n">
        <v>10</v>
      </c>
      <c r="G21" s="69" t="n">
        <v>350</v>
      </c>
      <c r="H21" s="69" t="n">
        <v>352100</v>
      </c>
      <c r="I21" s="5" t="n">
        <v>0</v>
      </c>
      <c r="J21" s="69" t="n">
        <v>352100</v>
      </c>
      <c r="K21" s="69" t="n">
        <v>261560</v>
      </c>
      <c r="L21" s="69" t="n">
        <v>90540</v>
      </c>
      <c r="M21" s="1" t="n">
        <v>41645</v>
      </c>
      <c r="N21" t="n">
        <v>6</v>
      </c>
      <c r="O21" t="inlineStr">
        <is>
          <t xml:space="preserve"> June </t>
        </is>
      </c>
      <c r="P21" t="n">
        <v>2014</v>
      </c>
      <c r="Q21">
        <f>IF(Financials[[#This Row],[ Units_Sold ]]&lt;&gt;INT(Financials[[#This Row],[ Units_Sold ]]),1,0)</f>
        <v/>
      </c>
      <c r="R21" s="10">
        <f>Financials[[#This Row],[ Profit ]]/Financials[[#This Row],[  Sales ]]</f>
        <v/>
      </c>
      <c r="S21" s="2">
        <f>Financials[[#This Row],[ COGS ]]/Financials[[#This Row],[  Sales ]]</f>
        <v/>
      </c>
      <c r="T21" s="3">
        <f>Financials[[#This Row],[ Discounts ]]/Financials[[#This Row],[  Sales ]]</f>
        <v/>
      </c>
      <c r="U21">
        <f>Financials[[#This Row],[  Sales ]]/Financials[[#This Row],[ Units_Sold ]]</f>
        <v/>
      </c>
      <c r="V21">
        <f>Financials[[#This Row],[ Profit ]]/Financials[[#This Row],[ Units_Sold ]]</f>
        <v/>
      </c>
      <c r="W21">
        <f>IF(Financials[[#This Row],[ Profit ]]&lt;0,1,0)</f>
        <v/>
      </c>
    </row>
    <row r="22">
      <c r="A22" t="inlineStr">
        <is>
          <t>Channel Partners</t>
        </is>
      </c>
      <c r="B22" t="inlineStr">
        <is>
          <t>Germany</t>
        </is>
      </c>
      <c r="C22" t="inlineStr">
        <is>
          <t xml:space="preserve"> Paseo </t>
        </is>
      </c>
      <c r="D22" t="inlineStr">
        <is>
          <t xml:space="preserve"> None </t>
        </is>
      </c>
      <c r="E22" t="n">
        <v>367</v>
      </c>
      <c r="F22" s="69" t="n">
        <v>10</v>
      </c>
      <c r="G22" s="69" t="n">
        <v>12</v>
      </c>
      <c r="H22" s="69" t="n">
        <v>4404</v>
      </c>
      <c r="I22" s="5" t="n">
        <v>0</v>
      </c>
      <c r="J22" s="69" t="n">
        <v>4404</v>
      </c>
      <c r="K22" s="69" t="n">
        <v>1101</v>
      </c>
      <c r="L22" s="69" t="n">
        <v>3303</v>
      </c>
      <c r="M22" s="1" t="n">
        <v>41646</v>
      </c>
      <c r="N22" t="n">
        <v>7</v>
      </c>
      <c r="O22" t="inlineStr">
        <is>
          <t xml:space="preserve"> July </t>
        </is>
      </c>
      <c r="P22" t="n">
        <v>2014</v>
      </c>
      <c r="Q22">
        <f>IF(Financials[[#This Row],[ Units_Sold ]]&lt;&gt;INT(Financials[[#This Row],[ Units_Sold ]]),1,0)</f>
        <v/>
      </c>
      <c r="R22" s="10">
        <f>Financials[[#This Row],[ Profit ]]/Financials[[#This Row],[  Sales ]]</f>
        <v/>
      </c>
      <c r="S22" s="2">
        <f>Financials[[#This Row],[ COGS ]]/Financials[[#This Row],[  Sales ]]</f>
        <v/>
      </c>
      <c r="T22" s="3">
        <f>Financials[[#This Row],[ Discounts ]]/Financials[[#This Row],[  Sales ]]</f>
        <v/>
      </c>
      <c r="U22">
        <f>Financials[[#This Row],[  Sales ]]/Financials[[#This Row],[ Units_Sold ]]</f>
        <v/>
      </c>
      <c r="V22">
        <f>Financials[[#This Row],[ Profit ]]/Financials[[#This Row],[ Units_Sold ]]</f>
        <v/>
      </c>
      <c r="W22">
        <f>IF(Financials[[#This Row],[ Profit ]]&lt;0,1,0)</f>
        <v/>
      </c>
    </row>
    <row r="23">
      <c r="A23" t="inlineStr">
        <is>
          <t>Government</t>
        </is>
      </c>
      <c r="B23" t="inlineStr">
        <is>
          <t>Mexico</t>
        </is>
      </c>
      <c r="C23" t="inlineStr">
        <is>
          <t xml:space="preserve"> Paseo </t>
        </is>
      </c>
      <c r="D23" t="inlineStr">
        <is>
          <t xml:space="preserve"> None </t>
        </is>
      </c>
      <c r="E23" t="n">
        <v>883</v>
      </c>
      <c r="F23" s="69" t="n">
        <v>10</v>
      </c>
      <c r="G23" s="69" t="n">
        <v>7</v>
      </c>
      <c r="H23" s="69" t="n">
        <v>6181</v>
      </c>
      <c r="I23" s="5" t="n">
        <v>0</v>
      </c>
      <c r="J23" s="69" t="n">
        <v>6181</v>
      </c>
      <c r="K23" s="69" t="n">
        <v>4415</v>
      </c>
      <c r="L23" s="69" t="n">
        <v>1766</v>
      </c>
      <c r="M23" s="1" t="n">
        <v>41647</v>
      </c>
      <c r="N23" t="n">
        <v>8</v>
      </c>
      <c r="O23" t="inlineStr">
        <is>
          <t xml:space="preserve"> August </t>
        </is>
      </c>
      <c r="P23" t="n">
        <v>2014</v>
      </c>
      <c r="Q23">
        <f>IF(Financials[[#This Row],[ Units_Sold ]]&lt;&gt;INT(Financials[[#This Row],[ Units_Sold ]]),1,0)</f>
        <v/>
      </c>
      <c r="R23" s="10">
        <f>Financials[[#This Row],[ Profit ]]/Financials[[#This Row],[  Sales ]]</f>
        <v/>
      </c>
      <c r="S23" s="2">
        <f>Financials[[#This Row],[ COGS ]]/Financials[[#This Row],[  Sales ]]</f>
        <v/>
      </c>
      <c r="T23" s="3">
        <f>Financials[[#This Row],[ Discounts ]]/Financials[[#This Row],[  Sales ]]</f>
        <v/>
      </c>
      <c r="U23">
        <f>Financials[[#This Row],[  Sales ]]/Financials[[#This Row],[ Units_Sold ]]</f>
        <v/>
      </c>
      <c r="V23">
        <f>Financials[[#This Row],[ Profit ]]/Financials[[#This Row],[ Units_Sold ]]</f>
        <v/>
      </c>
      <c r="W23">
        <f>IF(Financials[[#This Row],[ Profit ]]&lt;0,1,0)</f>
        <v/>
      </c>
    </row>
    <row r="24">
      <c r="A24" t="inlineStr">
        <is>
          <t>Midmarket</t>
        </is>
      </c>
      <c r="B24" t="inlineStr">
        <is>
          <t>France</t>
        </is>
      </c>
      <c r="C24" t="inlineStr">
        <is>
          <t xml:space="preserve"> Paseo </t>
        </is>
      </c>
      <c r="D24" t="inlineStr">
        <is>
          <t xml:space="preserve"> None </t>
        </is>
      </c>
      <c r="E24" t="n">
        <v>549</v>
      </c>
      <c r="F24" s="69" t="n">
        <v>10</v>
      </c>
      <c r="G24" s="69" t="n">
        <v>15</v>
      </c>
      <c r="H24" s="69" t="n">
        <v>8235</v>
      </c>
      <c r="I24" s="5" t="n">
        <v>0</v>
      </c>
      <c r="J24" s="69" t="n">
        <v>8235</v>
      </c>
      <c r="K24" s="69" t="n">
        <v>5490</v>
      </c>
      <c r="L24" s="69" t="n">
        <v>2745</v>
      </c>
      <c r="M24" s="1" t="n">
        <v>41283</v>
      </c>
      <c r="N24" t="n">
        <v>9</v>
      </c>
      <c r="O24" t="inlineStr">
        <is>
          <t xml:space="preserve"> September </t>
        </is>
      </c>
      <c r="P24" t="n">
        <v>2013</v>
      </c>
      <c r="Q24">
        <f>IF(Financials[[#This Row],[ Units_Sold ]]&lt;&gt;INT(Financials[[#This Row],[ Units_Sold ]]),1,0)</f>
        <v/>
      </c>
      <c r="R24" s="10">
        <f>Financials[[#This Row],[ Profit ]]/Financials[[#This Row],[  Sales ]]</f>
        <v/>
      </c>
      <c r="S24" s="2">
        <f>Financials[[#This Row],[ COGS ]]/Financials[[#This Row],[  Sales ]]</f>
        <v/>
      </c>
      <c r="T24" s="3">
        <f>Financials[[#This Row],[ Discounts ]]/Financials[[#This Row],[  Sales ]]</f>
        <v/>
      </c>
      <c r="U24">
        <f>Financials[[#This Row],[  Sales ]]/Financials[[#This Row],[ Units_Sold ]]</f>
        <v/>
      </c>
      <c r="V24">
        <f>Financials[[#This Row],[ Profit ]]/Financials[[#This Row],[ Units_Sold ]]</f>
        <v/>
      </c>
      <c r="W24">
        <f>IF(Financials[[#This Row],[ Profit ]]&lt;0,1,0)</f>
        <v/>
      </c>
    </row>
    <row r="25">
      <c r="A25" t="inlineStr">
        <is>
          <t>Small Business</t>
        </is>
      </c>
      <c r="B25" t="inlineStr">
        <is>
          <t>Mexico</t>
        </is>
      </c>
      <c r="C25" t="inlineStr">
        <is>
          <t xml:space="preserve"> Paseo </t>
        </is>
      </c>
      <c r="D25" t="inlineStr">
        <is>
          <t xml:space="preserve"> None </t>
        </is>
      </c>
      <c r="E25" t="n">
        <v>788</v>
      </c>
      <c r="F25" s="69" t="n">
        <v>10</v>
      </c>
      <c r="G25" s="69" t="n">
        <v>300</v>
      </c>
      <c r="H25" s="69" t="n">
        <v>236400</v>
      </c>
      <c r="I25" s="5" t="n">
        <v>0</v>
      </c>
      <c r="J25" s="69" t="n">
        <v>236400</v>
      </c>
      <c r="K25" s="69" t="n">
        <v>197000</v>
      </c>
      <c r="L25" s="69" t="n">
        <v>39400</v>
      </c>
      <c r="M25" s="1" t="n">
        <v>41283</v>
      </c>
      <c r="N25" t="n">
        <v>9</v>
      </c>
      <c r="O25" t="inlineStr">
        <is>
          <t xml:space="preserve"> September </t>
        </is>
      </c>
      <c r="P25" t="n">
        <v>2013</v>
      </c>
      <c r="Q25">
        <f>IF(Financials[[#This Row],[ Units_Sold ]]&lt;&gt;INT(Financials[[#This Row],[ Units_Sold ]]),1,0)</f>
        <v/>
      </c>
      <c r="R25" s="10">
        <f>Financials[[#This Row],[ Profit ]]/Financials[[#This Row],[  Sales ]]</f>
        <v/>
      </c>
      <c r="S25" s="2">
        <f>Financials[[#This Row],[ COGS ]]/Financials[[#This Row],[  Sales ]]</f>
        <v/>
      </c>
      <c r="T25" s="3">
        <f>Financials[[#This Row],[ Discounts ]]/Financials[[#This Row],[  Sales ]]</f>
        <v/>
      </c>
      <c r="U25">
        <f>Financials[[#This Row],[  Sales ]]/Financials[[#This Row],[ Units_Sold ]]</f>
        <v/>
      </c>
      <c r="V25">
        <f>Financials[[#This Row],[ Profit ]]/Financials[[#This Row],[ Units_Sold ]]</f>
        <v/>
      </c>
      <c r="W25">
        <f>IF(Financials[[#This Row],[ Profit ]]&lt;0,1,0)</f>
        <v/>
      </c>
    </row>
    <row r="26">
      <c r="A26" t="inlineStr">
        <is>
          <t>Midmarket</t>
        </is>
      </c>
      <c r="B26" t="inlineStr">
        <is>
          <t>Mexico</t>
        </is>
      </c>
      <c r="C26" t="inlineStr">
        <is>
          <t xml:space="preserve"> Paseo </t>
        </is>
      </c>
      <c r="D26" t="inlineStr">
        <is>
          <t xml:space="preserve"> None </t>
        </is>
      </c>
      <c r="E26" t="n">
        <v>2472</v>
      </c>
      <c r="F26" s="69" t="n">
        <v>10</v>
      </c>
      <c r="G26" s="69" t="n">
        <v>15</v>
      </c>
      <c r="H26" s="69" t="n">
        <v>37080</v>
      </c>
      <c r="I26" s="5" t="n">
        <v>0</v>
      </c>
      <c r="J26" s="69" t="n">
        <v>37080</v>
      </c>
      <c r="K26" s="69" t="n">
        <v>24720</v>
      </c>
      <c r="L26" s="69" t="n">
        <v>12360</v>
      </c>
      <c r="M26" s="1" t="n">
        <v>41648</v>
      </c>
      <c r="N26" t="n">
        <v>9</v>
      </c>
      <c r="O26" t="inlineStr">
        <is>
          <t xml:space="preserve"> September </t>
        </is>
      </c>
      <c r="P26" t="n">
        <v>2014</v>
      </c>
      <c r="Q26">
        <f>IF(Financials[[#This Row],[ Units_Sold ]]&lt;&gt;INT(Financials[[#This Row],[ Units_Sold ]]),1,0)</f>
        <v/>
      </c>
      <c r="R26" s="10">
        <f>Financials[[#This Row],[ Profit ]]/Financials[[#This Row],[  Sales ]]</f>
        <v/>
      </c>
      <c r="S26" s="2">
        <f>Financials[[#This Row],[ COGS ]]/Financials[[#This Row],[  Sales ]]</f>
        <v/>
      </c>
      <c r="T26" s="3">
        <f>Financials[[#This Row],[ Discounts ]]/Financials[[#This Row],[  Sales ]]</f>
        <v/>
      </c>
      <c r="U26">
        <f>Financials[[#This Row],[  Sales ]]/Financials[[#This Row],[ Units_Sold ]]</f>
        <v/>
      </c>
      <c r="V26">
        <f>Financials[[#This Row],[ Profit ]]/Financials[[#This Row],[ Units_Sold ]]</f>
        <v/>
      </c>
      <c r="W26">
        <f>IF(Financials[[#This Row],[ Profit ]]&lt;0,1,0)</f>
        <v/>
      </c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 xml:space="preserve"> Paseo </t>
        </is>
      </c>
      <c r="D27" t="inlineStr">
        <is>
          <t xml:space="preserve"> None </t>
        </is>
      </c>
      <c r="E27" t="n">
        <v>1143</v>
      </c>
      <c r="F27" s="69" t="n">
        <v>10</v>
      </c>
      <c r="G27" s="69" t="n">
        <v>7</v>
      </c>
      <c r="H27" s="69" t="n">
        <v>8001</v>
      </c>
      <c r="I27" s="5" t="n">
        <v>0</v>
      </c>
      <c r="J27" s="69" t="n">
        <v>8001</v>
      </c>
      <c r="K27" s="69" t="n">
        <v>5715</v>
      </c>
      <c r="L27" s="69" t="n">
        <v>2286</v>
      </c>
      <c r="M27" s="1" t="n">
        <v>41649</v>
      </c>
      <c r="N27" t="n">
        <v>10</v>
      </c>
      <c r="O27" t="inlineStr">
        <is>
          <t xml:space="preserve"> October </t>
        </is>
      </c>
      <c r="P27" t="n">
        <v>2014</v>
      </c>
      <c r="Q27">
        <f>IF(Financials[[#This Row],[ Units_Sold ]]&lt;&gt;INT(Financials[[#This Row],[ Units_Sold ]]),1,0)</f>
        <v/>
      </c>
      <c r="R27" s="10">
        <f>Financials[[#This Row],[ Profit ]]/Financials[[#This Row],[  Sales ]]</f>
        <v/>
      </c>
      <c r="S27" s="2">
        <f>Financials[[#This Row],[ COGS ]]/Financials[[#This Row],[  Sales ]]</f>
        <v/>
      </c>
      <c r="T27" s="3">
        <f>Financials[[#This Row],[ Discounts ]]/Financials[[#This Row],[  Sales ]]</f>
        <v/>
      </c>
      <c r="U27">
        <f>Financials[[#This Row],[  Sales ]]/Financials[[#This Row],[ Units_Sold ]]</f>
        <v/>
      </c>
      <c r="V27">
        <f>Financials[[#This Row],[ Profit ]]/Financials[[#This Row],[ Units_Sold ]]</f>
        <v/>
      </c>
      <c r="W27">
        <f>IF(Financials[[#This Row],[ Profit ]]&lt;0,1,0)</f>
        <v/>
      </c>
    </row>
    <row r="28">
      <c r="A28" t="inlineStr">
        <is>
          <t>Government</t>
        </is>
      </c>
      <c r="B28" t="inlineStr">
        <is>
          <t>Canada</t>
        </is>
      </c>
      <c r="C28" t="inlineStr">
        <is>
          <t xml:space="preserve"> Paseo </t>
        </is>
      </c>
      <c r="D28" t="inlineStr">
        <is>
          <t xml:space="preserve"> None </t>
        </is>
      </c>
      <c r="E28" t="n">
        <v>1725</v>
      </c>
      <c r="F28" s="69" t="n">
        <v>10</v>
      </c>
      <c r="G28" s="69" t="n">
        <v>350</v>
      </c>
      <c r="H28" s="69" t="n">
        <v>603750</v>
      </c>
      <c r="I28" s="5" t="n">
        <v>0</v>
      </c>
      <c r="J28" s="69" t="n">
        <v>603750</v>
      </c>
      <c r="K28" s="69" t="n">
        <v>448500</v>
      </c>
      <c r="L28" s="69" t="n">
        <v>155250</v>
      </c>
      <c r="M28" s="1" t="n">
        <v>41285</v>
      </c>
      <c r="N28" t="n">
        <v>11</v>
      </c>
      <c r="O28" t="inlineStr">
        <is>
          <t xml:space="preserve"> November </t>
        </is>
      </c>
      <c r="P28" t="n">
        <v>2013</v>
      </c>
      <c r="Q28">
        <f>IF(Financials[[#This Row],[ Units_Sold ]]&lt;&gt;INT(Financials[[#This Row],[ Units_Sold ]]),1,0)</f>
        <v/>
      </c>
      <c r="R28" s="10">
        <f>Financials[[#This Row],[ Profit ]]/Financials[[#This Row],[  Sales ]]</f>
        <v/>
      </c>
      <c r="S28" s="2">
        <f>Financials[[#This Row],[ COGS ]]/Financials[[#This Row],[  Sales ]]</f>
        <v/>
      </c>
      <c r="T28" s="3">
        <f>Financials[[#This Row],[ Discounts ]]/Financials[[#This Row],[  Sales ]]</f>
        <v/>
      </c>
      <c r="U28">
        <f>Financials[[#This Row],[  Sales ]]/Financials[[#This Row],[ Units_Sold ]]</f>
        <v/>
      </c>
      <c r="V28">
        <f>Financials[[#This Row],[ Profit ]]/Financials[[#This Row],[ Units_Sold ]]</f>
        <v/>
      </c>
      <c r="W28">
        <f>IF(Financials[[#This Row],[ Profit ]]&lt;0,1,0)</f>
        <v/>
      </c>
    </row>
    <row r="29">
      <c r="A29" t="inlineStr">
        <is>
          <t>Channel Partners</t>
        </is>
      </c>
      <c r="B29" t="inlineStr">
        <is>
          <t>United States of America</t>
        </is>
      </c>
      <c r="C29" t="inlineStr">
        <is>
          <t xml:space="preserve"> Paseo </t>
        </is>
      </c>
      <c r="D29" t="inlineStr">
        <is>
          <t xml:space="preserve"> None </t>
        </is>
      </c>
      <c r="E29" t="n">
        <v>912</v>
      </c>
      <c r="F29" s="69" t="n">
        <v>10</v>
      </c>
      <c r="G29" s="69" t="n">
        <v>12</v>
      </c>
      <c r="H29" s="69" t="n">
        <v>10944</v>
      </c>
      <c r="I29" s="5" t="n">
        <v>0</v>
      </c>
      <c r="J29" s="69" t="n">
        <v>10944</v>
      </c>
      <c r="K29" s="69" t="n">
        <v>2736</v>
      </c>
      <c r="L29" s="69" t="n">
        <v>8208</v>
      </c>
      <c r="M29" s="1" t="n">
        <v>41285</v>
      </c>
      <c r="N29" t="n">
        <v>11</v>
      </c>
      <c r="O29" t="inlineStr">
        <is>
          <t xml:space="preserve"> November </t>
        </is>
      </c>
      <c r="P29" t="n">
        <v>2013</v>
      </c>
      <c r="Q29">
        <f>IF(Financials[[#This Row],[ Units_Sold ]]&lt;&gt;INT(Financials[[#This Row],[ Units_Sold ]]),1,0)</f>
        <v/>
      </c>
      <c r="R29" s="10">
        <f>Financials[[#This Row],[ Profit ]]/Financials[[#This Row],[  Sales ]]</f>
        <v/>
      </c>
      <c r="S29" s="2">
        <f>Financials[[#This Row],[ COGS ]]/Financials[[#This Row],[  Sales ]]</f>
        <v/>
      </c>
      <c r="T29" s="3">
        <f>Financials[[#This Row],[ Discounts ]]/Financials[[#This Row],[  Sales ]]</f>
        <v/>
      </c>
      <c r="U29">
        <f>Financials[[#This Row],[  Sales ]]/Financials[[#This Row],[ Units_Sold ]]</f>
        <v/>
      </c>
      <c r="V29">
        <f>Financials[[#This Row],[ Profit ]]/Financials[[#This Row],[ Units_Sold ]]</f>
        <v/>
      </c>
      <c r="W29">
        <f>IF(Financials[[#This Row],[ Profit ]]&lt;0,1,0)</f>
        <v/>
      </c>
    </row>
    <row r="30">
      <c r="A30" t="inlineStr">
        <is>
          <t>Midmarket</t>
        </is>
      </c>
      <c r="B30" t="inlineStr">
        <is>
          <t>Canada</t>
        </is>
      </c>
      <c r="C30" t="inlineStr">
        <is>
          <t xml:space="preserve"> Paseo </t>
        </is>
      </c>
      <c r="D30" t="inlineStr">
        <is>
          <t xml:space="preserve"> None </t>
        </is>
      </c>
      <c r="E30" t="n">
        <v>2152</v>
      </c>
      <c r="F30" s="69" t="n">
        <v>10</v>
      </c>
      <c r="G30" s="69" t="n">
        <v>15</v>
      </c>
      <c r="H30" s="69" t="n">
        <v>32280</v>
      </c>
      <c r="I30" s="5" t="n">
        <v>0</v>
      </c>
      <c r="J30" s="69" t="n">
        <v>32280</v>
      </c>
      <c r="K30" s="69" t="n">
        <v>21520</v>
      </c>
      <c r="L30" s="69" t="n">
        <v>10760</v>
      </c>
      <c r="M30" s="1" t="n">
        <v>41286</v>
      </c>
      <c r="N30" t="n">
        <v>12</v>
      </c>
      <c r="O30" t="inlineStr">
        <is>
          <t xml:space="preserve"> December </t>
        </is>
      </c>
      <c r="P30" t="n">
        <v>2013</v>
      </c>
      <c r="Q30">
        <f>IF(Financials[[#This Row],[ Units_Sold ]]&lt;&gt;INT(Financials[[#This Row],[ Units_Sold ]]),1,0)</f>
        <v/>
      </c>
      <c r="R30" s="10">
        <f>Financials[[#This Row],[ Profit ]]/Financials[[#This Row],[  Sales ]]</f>
        <v/>
      </c>
      <c r="S30" s="2">
        <f>Financials[[#This Row],[ COGS ]]/Financials[[#This Row],[  Sales ]]</f>
        <v/>
      </c>
      <c r="T30" s="3">
        <f>Financials[[#This Row],[ Discounts ]]/Financials[[#This Row],[  Sales ]]</f>
        <v/>
      </c>
      <c r="U30">
        <f>Financials[[#This Row],[  Sales ]]/Financials[[#This Row],[ Units_Sold ]]</f>
        <v/>
      </c>
      <c r="V30">
        <f>Financials[[#This Row],[ Profit ]]/Financials[[#This Row],[ Units_Sold ]]</f>
        <v/>
      </c>
      <c r="W30">
        <f>IF(Financials[[#This Row],[ Profit ]]&lt;0,1,0)</f>
        <v/>
      </c>
    </row>
    <row r="31">
      <c r="A31" t="inlineStr">
        <is>
          <t>Government</t>
        </is>
      </c>
      <c r="B31" t="inlineStr">
        <is>
          <t>Canada</t>
        </is>
      </c>
      <c r="C31" t="inlineStr">
        <is>
          <t xml:space="preserve"> Paseo </t>
        </is>
      </c>
      <c r="D31" t="inlineStr">
        <is>
          <t xml:space="preserve"> None </t>
        </is>
      </c>
      <c r="E31" t="n">
        <v>1817</v>
      </c>
      <c r="F31" s="69" t="n">
        <v>10</v>
      </c>
      <c r="G31" s="69" t="n">
        <v>20</v>
      </c>
      <c r="H31" s="69" t="n">
        <v>36340</v>
      </c>
      <c r="I31" s="5" t="n">
        <v>0</v>
      </c>
      <c r="J31" s="69" t="n">
        <v>36340</v>
      </c>
      <c r="K31" s="69" t="n">
        <v>18170</v>
      </c>
      <c r="L31" s="69" t="n">
        <v>18170</v>
      </c>
      <c r="M31" s="1" t="n">
        <v>41651</v>
      </c>
      <c r="N31" t="n">
        <v>12</v>
      </c>
      <c r="O31" t="inlineStr">
        <is>
          <t xml:space="preserve"> December </t>
        </is>
      </c>
      <c r="P31" t="n">
        <v>2014</v>
      </c>
      <c r="Q31">
        <f>IF(Financials[[#This Row],[ Units_Sold ]]&lt;&gt;INT(Financials[[#This Row],[ Units_Sold ]]),1,0)</f>
        <v/>
      </c>
      <c r="R31" s="10">
        <f>Financials[[#This Row],[ Profit ]]/Financials[[#This Row],[  Sales ]]</f>
        <v/>
      </c>
      <c r="S31" s="2">
        <f>Financials[[#This Row],[ COGS ]]/Financials[[#This Row],[  Sales ]]</f>
        <v/>
      </c>
      <c r="T31" s="3">
        <f>Financials[[#This Row],[ Discounts ]]/Financials[[#This Row],[  Sales ]]</f>
        <v/>
      </c>
      <c r="U31">
        <f>Financials[[#This Row],[  Sales ]]/Financials[[#This Row],[ Units_Sold ]]</f>
        <v/>
      </c>
      <c r="V31">
        <f>Financials[[#This Row],[ Profit ]]/Financials[[#This Row],[ Units_Sold ]]</f>
        <v/>
      </c>
      <c r="W31">
        <f>IF(Financials[[#This Row],[ Profit ]]&lt;0,1,0)</f>
        <v/>
      </c>
    </row>
    <row r="32">
      <c r="A32" t="inlineStr">
        <is>
          <t>Government</t>
        </is>
      </c>
      <c r="B32" t="inlineStr">
        <is>
          <t>Germany</t>
        </is>
      </c>
      <c r="C32" t="inlineStr">
        <is>
          <t xml:space="preserve"> Paseo </t>
        </is>
      </c>
      <c r="D32" t="inlineStr">
        <is>
          <t xml:space="preserve"> None </t>
        </is>
      </c>
      <c r="E32" t="n">
        <v>1513</v>
      </c>
      <c r="F32" s="69" t="n">
        <v>10</v>
      </c>
      <c r="G32" s="69" t="n">
        <v>350</v>
      </c>
      <c r="H32" s="69" t="n">
        <v>529550</v>
      </c>
      <c r="I32" s="5" t="n">
        <v>0</v>
      </c>
      <c r="J32" s="69" t="n">
        <v>529550</v>
      </c>
      <c r="K32" s="69" t="n">
        <v>393380</v>
      </c>
      <c r="L32" s="69" t="n">
        <v>136170</v>
      </c>
      <c r="M32" s="1" t="n">
        <v>41651</v>
      </c>
      <c r="N32" t="n">
        <v>12</v>
      </c>
      <c r="O32" t="inlineStr">
        <is>
          <t xml:space="preserve"> December </t>
        </is>
      </c>
      <c r="P32" t="n">
        <v>2014</v>
      </c>
      <c r="Q32">
        <f>IF(Financials[[#This Row],[ Units_Sold ]]&lt;&gt;INT(Financials[[#This Row],[ Units_Sold ]]),1,0)</f>
        <v/>
      </c>
      <c r="R32" s="10">
        <f>Financials[[#This Row],[ Profit ]]/Financials[[#This Row],[  Sales ]]</f>
        <v/>
      </c>
      <c r="S32" s="2">
        <f>Financials[[#This Row],[ COGS ]]/Financials[[#This Row],[  Sales ]]</f>
        <v/>
      </c>
      <c r="T32" s="3">
        <f>Financials[[#This Row],[ Discounts ]]/Financials[[#This Row],[  Sales ]]</f>
        <v/>
      </c>
      <c r="U32">
        <f>Financials[[#This Row],[  Sales ]]/Financials[[#This Row],[ Units_Sold ]]</f>
        <v/>
      </c>
      <c r="V32">
        <f>Financials[[#This Row],[ Profit ]]/Financials[[#This Row],[ Units_Sold ]]</f>
        <v/>
      </c>
      <c r="W32">
        <f>IF(Financials[[#This Row],[ Profit ]]&lt;0,1,0)</f>
        <v/>
      </c>
    </row>
    <row r="33">
      <c r="A33" t="inlineStr">
        <is>
          <t>Government</t>
        </is>
      </c>
      <c r="B33" t="inlineStr">
        <is>
          <t>Mexico</t>
        </is>
      </c>
      <c r="C33" t="inlineStr">
        <is>
          <t xml:space="preserve"> Velo </t>
        </is>
      </c>
      <c r="D33" t="inlineStr">
        <is>
          <t xml:space="preserve"> None </t>
        </is>
      </c>
      <c r="E33" t="n">
        <v>1493</v>
      </c>
      <c r="F33" s="69" t="n">
        <v>120</v>
      </c>
      <c r="G33" s="69" t="n">
        <v>7</v>
      </c>
      <c r="H33" s="69" t="n">
        <v>10451</v>
      </c>
      <c r="I33" s="5" t="n">
        <v>0</v>
      </c>
      <c r="J33" s="69" t="n">
        <v>10451</v>
      </c>
      <c r="K33" s="69" t="n">
        <v>7465</v>
      </c>
      <c r="L33" s="69" t="n">
        <v>2986</v>
      </c>
      <c r="M33" s="1" t="n">
        <v>41640</v>
      </c>
      <c r="N33" t="n">
        <v>1</v>
      </c>
      <c r="O33" t="inlineStr">
        <is>
          <t xml:space="preserve"> January </t>
        </is>
      </c>
      <c r="P33" t="n">
        <v>2014</v>
      </c>
      <c r="Q33">
        <f>IF(Financials[[#This Row],[ Units_Sold ]]&lt;&gt;INT(Financials[[#This Row],[ Units_Sold ]]),1,0)</f>
        <v/>
      </c>
      <c r="R33" s="10">
        <f>Financials[[#This Row],[ Profit ]]/Financials[[#This Row],[  Sales ]]</f>
        <v/>
      </c>
      <c r="S33" s="2">
        <f>Financials[[#This Row],[ COGS ]]/Financials[[#This Row],[  Sales ]]</f>
        <v/>
      </c>
      <c r="T33" s="3">
        <f>Financials[[#This Row],[ Discounts ]]/Financials[[#This Row],[  Sales ]]</f>
        <v/>
      </c>
      <c r="U33">
        <f>Financials[[#This Row],[  Sales ]]/Financials[[#This Row],[ Units_Sold ]]</f>
        <v/>
      </c>
      <c r="V33">
        <f>Financials[[#This Row],[ Profit ]]/Financials[[#This Row],[ Units_Sold ]]</f>
        <v/>
      </c>
      <c r="W33">
        <f>IF(Financials[[#This Row],[ Profit ]]&lt;0,1,0)</f>
        <v/>
      </c>
    </row>
    <row r="34">
      <c r="A34" t="inlineStr">
        <is>
          <t>Enterprise</t>
        </is>
      </c>
      <c r="B34" t="inlineStr">
        <is>
          <t>France</t>
        </is>
      </c>
      <c r="C34" t="inlineStr">
        <is>
          <t xml:space="preserve"> Velo </t>
        </is>
      </c>
      <c r="D34" t="inlineStr">
        <is>
          <t xml:space="preserve"> None </t>
        </is>
      </c>
      <c r="E34" t="n">
        <v>1804</v>
      </c>
      <c r="F34" s="69" t="n">
        <v>120</v>
      </c>
      <c r="G34" s="69" t="n">
        <v>125</v>
      </c>
      <c r="H34" s="69" t="n">
        <v>225500</v>
      </c>
      <c r="I34" s="5" t="n">
        <v>0</v>
      </c>
      <c r="J34" s="69" t="n">
        <v>225500</v>
      </c>
      <c r="K34" s="69" t="n">
        <v>216480</v>
      </c>
      <c r="L34" s="69" t="n">
        <v>9020</v>
      </c>
      <c r="M34" s="1" t="n">
        <v>41641</v>
      </c>
      <c r="N34" t="n">
        <v>2</v>
      </c>
      <c r="O34" t="inlineStr">
        <is>
          <t xml:space="preserve"> February </t>
        </is>
      </c>
      <c r="P34" t="n">
        <v>2014</v>
      </c>
      <c r="Q34">
        <f>IF(Financials[[#This Row],[ Units_Sold ]]&lt;&gt;INT(Financials[[#This Row],[ Units_Sold ]]),1,0)</f>
        <v/>
      </c>
      <c r="R34" s="10">
        <f>Financials[[#This Row],[ Profit ]]/Financials[[#This Row],[  Sales ]]</f>
        <v/>
      </c>
      <c r="S34" s="2">
        <f>Financials[[#This Row],[ COGS ]]/Financials[[#This Row],[  Sales ]]</f>
        <v/>
      </c>
      <c r="T34" s="3">
        <f>Financials[[#This Row],[ Discounts ]]/Financials[[#This Row],[  Sales ]]</f>
        <v/>
      </c>
      <c r="U34">
        <f>Financials[[#This Row],[  Sales ]]/Financials[[#This Row],[ Units_Sold ]]</f>
        <v/>
      </c>
      <c r="V34">
        <f>Financials[[#This Row],[ Profit ]]/Financials[[#This Row],[ Units_Sold ]]</f>
        <v/>
      </c>
      <c r="W34">
        <f>IF(Financials[[#This Row],[ Profit ]]&lt;0,1,0)</f>
        <v/>
      </c>
    </row>
    <row r="35">
      <c r="A35" t="inlineStr">
        <is>
          <t>Channel Partners</t>
        </is>
      </c>
      <c r="B35" t="inlineStr">
        <is>
          <t>Germany</t>
        </is>
      </c>
      <c r="C35" t="inlineStr">
        <is>
          <t xml:space="preserve"> Velo </t>
        </is>
      </c>
      <c r="D35" t="inlineStr">
        <is>
          <t xml:space="preserve"> None </t>
        </is>
      </c>
      <c r="E35" t="n">
        <v>2161</v>
      </c>
      <c r="F35" s="69" t="n">
        <v>120</v>
      </c>
      <c r="G35" s="69" t="n">
        <v>12</v>
      </c>
      <c r="H35" s="69" t="n">
        <v>25932</v>
      </c>
      <c r="I35" s="5" t="n">
        <v>0</v>
      </c>
      <c r="J35" s="69" t="n">
        <v>25932</v>
      </c>
      <c r="K35" s="69" t="n">
        <v>6483</v>
      </c>
      <c r="L35" s="69" t="n">
        <v>19449</v>
      </c>
      <c r="M35" s="1" t="n">
        <v>41642</v>
      </c>
      <c r="N35" t="n">
        <v>3</v>
      </c>
      <c r="O35" t="inlineStr">
        <is>
          <t xml:space="preserve"> March </t>
        </is>
      </c>
      <c r="P35" t="n">
        <v>2014</v>
      </c>
      <c r="Q35">
        <f>IF(Financials[[#This Row],[ Units_Sold ]]&lt;&gt;INT(Financials[[#This Row],[ Units_Sold ]]),1,0)</f>
        <v/>
      </c>
      <c r="R35" s="10">
        <f>Financials[[#This Row],[ Profit ]]/Financials[[#This Row],[  Sales ]]</f>
        <v/>
      </c>
      <c r="S35" s="2">
        <f>Financials[[#This Row],[ COGS ]]/Financials[[#This Row],[  Sales ]]</f>
        <v/>
      </c>
      <c r="T35" s="3">
        <f>Financials[[#This Row],[ Discounts ]]/Financials[[#This Row],[  Sales ]]</f>
        <v/>
      </c>
      <c r="U35">
        <f>Financials[[#This Row],[  Sales ]]/Financials[[#This Row],[ Units_Sold ]]</f>
        <v/>
      </c>
      <c r="V35">
        <f>Financials[[#This Row],[ Profit ]]/Financials[[#This Row],[ Units_Sold ]]</f>
        <v/>
      </c>
      <c r="W35">
        <f>IF(Financials[[#This Row],[ Profit ]]&lt;0,1,0)</f>
        <v/>
      </c>
    </row>
    <row r="36">
      <c r="A36" t="inlineStr">
        <is>
          <t>Government</t>
        </is>
      </c>
      <c r="B36" t="inlineStr">
        <is>
          <t>Germany</t>
        </is>
      </c>
      <c r="C36" t="inlineStr">
        <is>
          <t xml:space="preserve"> Velo </t>
        </is>
      </c>
      <c r="D36" t="inlineStr">
        <is>
          <t xml:space="preserve"> None </t>
        </is>
      </c>
      <c r="E36" t="n">
        <v>1006</v>
      </c>
      <c r="F36" s="69" t="n">
        <v>120</v>
      </c>
      <c r="G36" s="69" t="n">
        <v>350</v>
      </c>
      <c r="H36" s="69" t="n">
        <v>352100</v>
      </c>
      <c r="I36" s="5" t="n">
        <v>0</v>
      </c>
      <c r="J36" s="69" t="n">
        <v>352100</v>
      </c>
      <c r="K36" s="69" t="n">
        <v>261560</v>
      </c>
      <c r="L36" s="69" t="n">
        <v>90540</v>
      </c>
      <c r="M36" s="1" t="n">
        <v>41645</v>
      </c>
      <c r="N36" t="n">
        <v>6</v>
      </c>
      <c r="O36" t="inlineStr">
        <is>
          <t xml:space="preserve"> June </t>
        </is>
      </c>
      <c r="P36" t="n">
        <v>2014</v>
      </c>
      <c r="Q36">
        <f>IF(Financials[[#This Row],[ Units_Sold ]]&lt;&gt;INT(Financials[[#This Row],[ Units_Sold ]]),1,0)</f>
        <v/>
      </c>
      <c r="R36" s="10">
        <f>Financials[[#This Row],[ Profit ]]/Financials[[#This Row],[  Sales ]]</f>
        <v/>
      </c>
      <c r="S36" s="2">
        <f>Financials[[#This Row],[ COGS ]]/Financials[[#This Row],[  Sales ]]</f>
        <v/>
      </c>
      <c r="T36" s="3">
        <f>Financials[[#This Row],[ Discounts ]]/Financials[[#This Row],[  Sales ]]</f>
        <v/>
      </c>
      <c r="U36">
        <f>Financials[[#This Row],[  Sales ]]/Financials[[#This Row],[ Units_Sold ]]</f>
        <v/>
      </c>
      <c r="V36">
        <f>Financials[[#This Row],[ Profit ]]/Financials[[#This Row],[ Units_Sold ]]</f>
        <v/>
      </c>
      <c r="W36">
        <f>IF(Financials[[#This Row],[ Profit ]]&lt;0,1,0)</f>
        <v/>
      </c>
    </row>
    <row r="37">
      <c r="A37" t="inlineStr">
        <is>
          <t>Channel Partners</t>
        </is>
      </c>
      <c r="B37" t="inlineStr">
        <is>
          <t>Germany</t>
        </is>
      </c>
      <c r="C37" t="inlineStr">
        <is>
          <t xml:space="preserve"> Velo </t>
        </is>
      </c>
      <c r="D37" t="inlineStr">
        <is>
          <t xml:space="preserve"> None </t>
        </is>
      </c>
      <c r="E37" t="n">
        <v>1545</v>
      </c>
      <c r="F37" s="69" t="n">
        <v>120</v>
      </c>
      <c r="G37" s="69" t="n">
        <v>12</v>
      </c>
      <c r="H37" s="69" t="n">
        <v>18540</v>
      </c>
      <c r="I37" s="5" t="n">
        <v>0</v>
      </c>
      <c r="J37" s="69" t="n">
        <v>18540</v>
      </c>
      <c r="K37" s="69" t="n">
        <v>4635</v>
      </c>
      <c r="L37" s="69" t="n">
        <v>13905</v>
      </c>
      <c r="M37" s="1" t="n">
        <v>41645</v>
      </c>
      <c r="N37" t="n">
        <v>6</v>
      </c>
      <c r="O37" t="inlineStr">
        <is>
          <t xml:space="preserve"> June </t>
        </is>
      </c>
      <c r="P37" t="n">
        <v>2014</v>
      </c>
      <c r="Q37">
        <f>IF(Financials[[#This Row],[ Units_Sold ]]&lt;&gt;INT(Financials[[#This Row],[ Units_Sold ]]),1,0)</f>
        <v/>
      </c>
      <c r="R37" s="10">
        <f>Financials[[#This Row],[ Profit ]]/Financials[[#This Row],[  Sales ]]</f>
        <v/>
      </c>
      <c r="S37" s="2">
        <f>Financials[[#This Row],[ COGS ]]/Financials[[#This Row],[  Sales ]]</f>
        <v/>
      </c>
      <c r="T37" s="3">
        <f>Financials[[#This Row],[ Discounts ]]/Financials[[#This Row],[  Sales ]]</f>
        <v/>
      </c>
      <c r="U37">
        <f>Financials[[#This Row],[  Sales ]]/Financials[[#This Row],[ Units_Sold ]]</f>
        <v/>
      </c>
      <c r="V37">
        <f>Financials[[#This Row],[ Profit ]]/Financials[[#This Row],[ Units_Sold ]]</f>
        <v/>
      </c>
      <c r="W37">
        <f>IF(Financials[[#This Row],[ Profit ]]&lt;0,1,0)</f>
        <v/>
      </c>
    </row>
    <row r="38">
      <c r="A38" t="inlineStr">
        <is>
          <t>Enterprise</t>
        </is>
      </c>
      <c r="B38" t="inlineStr">
        <is>
          <t>United States of America</t>
        </is>
      </c>
      <c r="C38" t="inlineStr">
        <is>
          <t xml:space="preserve"> Velo </t>
        </is>
      </c>
      <c r="D38" t="inlineStr">
        <is>
          <t xml:space="preserve"> None </t>
        </is>
      </c>
      <c r="E38" t="n">
        <v>2821</v>
      </c>
      <c r="F38" s="69" t="n">
        <v>120</v>
      </c>
      <c r="G38" s="69" t="n">
        <v>125</v>
      </c>
      <c r="H38" s="69" t="n">
        <v>352625</v>
      </c>
      <c r="I38" s="5" t="n">
        <v>0</v>
      </c>
      <c r="J38" s="69" t="n">
        <v>352625</v>
      </c>
      <c r="K38" s="69" t="n">
        <v>338520</v>
      </c>
      <c r="L38" s="69" t="n">
        <v>14105</v>
      </c>
      <c r="M38" s="1" t="n">
        <v>41647</v>
      </c>
      <c r="N38" t="n">
        <v>8</v>
      </c>
      <c r="O38" t="inlineStr">
        <is>
          <t xml:space="preserve"> August </t>
        </is>
      </c>
      <c r="P38" t="n">
        <v>2014</v>
      </c>
      <c r="Q38">
        <f>IF(Financials[[#This Row],[ Units_Sold ]]&lt;&gt;INT(Financials[[#This Row],[ Units_Sold ]]),1,0)</f>
        <v/>
      </c>
      <c r="R38" s="10">
        <f>Financials[[#This Row],[ Profit ]]/Financials[[#This Row],[  Sales ]]</f>
        <v/>
      </c>
      <c r="S38" s="2">
        <f>Financials[[#This Row],[ COGS ]]/Financials[[#This Row],[  Sales ]]</f>
        <v/>
      </c>
      <c r="T38" s="3">
        <f>Financials[[#This Row],[ Discounts ]]/Financials[[#This Row],[  Sales ]]</f>
        <v/>
      </c>
      <c r="U38">
        <f>Financials[[#This Row],[  Sales ]]/Financials[[#This Row],[ Units_Sold ]]</f>
        <v/>
      </c>
      <c r="V38">
        <f>Financials[[#This Row],[ Profit ]]/Financials[[#This Row],[ Units_Sold ]]</f>
        <v/>
      </c>
      <c r="W38">
        <f>IF(Financials[[#This Row],[ Profit ]]&lt;0,1,0)</f>
        <v/>
      </c>
    </row>
    <row r="39">
      <c r="A39" t="inlineStr">
        <is>
          <t>Enterprise</t>
        </is>
      </c>
      <c r="B39" t="inlineStr">
        <is>
          <t>Canada</t>
        </is>
      </c>
      <c r="C39" t="inlineStr">
        <is>
          <t xml:space="preserve"> Velo </t>
        </is>
      </c>
      <c r="D39" t="inlineStr">
        <is>
          <t xml:space="preserve"> None </t>
        </is>
      </c>
      <c r="E39" t="n">
        <v>345</v>
      </c>
      <c r="F39" s="69" t="n">
        <v>120</v>
      </c>
      <c r="G39" s="69" t="n">
        <v>125</v>
      </c>
      <c r="H39" s="69" t="n">
        <v>43125</v>
      </c>
      <c r="I39" s="5" t="n">
        <v>0</v>
      </c>
      <c r="J39" s="69" t="n">
        <v>43125</v>
      </c>
      <c r="K39" s="69" t="n">
        <v>41400</v>
      </c>
      <c r="L39" s="69" t="n">
        <v>1725</v>
      </c>
      <c r="M39" s="1" t="n">
        <v>41284</v>
      </c>
      <c r="N39" t="n">
        <v>10</v>
      </c>
      <c r="O39" t="inlineStr">
        <is>
          <t xml:space="preserve"> October </t>
        </is>
      </c>
      <c r="P39" t="n">
        <v>2013</v>
      </c>
      <c r="Q39">
        <f>IF(Financials[[#This Row],[ Units_Sold ]]&lt;&gt;INT(Financials[[#This Row],[ Units_Sold ]]),1,0)</f>
        <v/>
      </c>
      <c r="R39" s="10">
        <f>Financials[[#This Row],[ Profit ]]/Financials[[#This Row],[  Sales ]]</f>
        <v/>
      </c>
      <c r="S39" s="2">
        <f>Financials[[#This Row],[ COGS ]]/Financials[[#This Row],[  Sales ]]</f>
        <v/>
      </c>
      <c r="T39" s="3">
        <f>Financials[[#This Row],[ Discounts ]]/Financials[[#This Row],[  Sales ]]</f>
        <v/>
      </c>
      <c r="U39">
        <f>Financials[[#This Row],[  Sales ]]/Financials[[#This Row],[ Units_Sold ]]</f>
        <v/>
      </c>
      <c r="V39">
        <f>Financials[[#This Row],[ Profit ]]/Financials[[#This Row],[ Units_Sold ]]</f>
        <v/>
      </c>
      <c r="W39">
        <f>IF(Financials[[#This Row],[ Profit ]]&lt;0,1,0)</f>
        <v/>
      </c>
    </row>
    <row r="40">
      <c r="A40" t="inlineStr">
        <is>
          <t>Small Business</t>
        </is>
      </c>
      <c r="B40" t="inlineStr">
        <is>
          <t>Canada</t>
        </is>
      </c>
      <c r="C40" t="inlineStr">
        <is>
          <t xml:space="preserve"> VTT </t>
        </is>
      </c>
      <c r="D40" t="inlineStr">
        <is>
          <t xml:space="preserve"> None </t>
        </is>
      </c>
      <c r="E40" t="n">
        <v>2001</v>
      </c>
      <c r="F40" s="69" t="n">
        <v>250</v>
      </c>
      <c r="G40" s="69" t="n">
        <v>300</v>
      </c>
      <c r="H40" s="69" t="n">
        <v>600300</v>
      </c>
      <c r="I40" s="5" t="n">
        <v>0</v>
      </c>
      <c r="J40" s="69" t="n">
        <v>600300</v>
      </c>
      <c r="K40" s="69" t="n">
        <v>500250</v>
      </c>
      <c r="L40" s="69" t="n">
        <v>100050</v>
      </c>
      <c r="M40" s="1" t="n">
        <v>41641</v>
      </c>
      <c r="N40" t="n">
        <v>2</v>
      </c>
      <c r="O40" t="inlineStr">
        <is>
          <t xml:space="preserve"> February </t>
        </is>
      </c>
      <c r="P40" t="n">
        <v>2014</v>
      </c>
      <c r="Q40">
        <f>IF(Financials[[#This Row],[ Units_Sold ]]&lt;&gt;INT(Financials[[#This Row],[ Units_Sold ]]),1,0)</f>
        <v/>
      </c>
      <c r="R40" s="10">
        <f>Financials[[#This Row],[ Profit ]]/Financials[[#This Row],[  Sales ]]</f>
        <v/>
      </c>
      <c r="S40" s="2">
        <f>Financials[[#This Row],[ COGS ]]/Financials[[#This Row],[  Sales ]]</f>
        <v/>
      </c>
      <c r="T40" s="3">
        <f>Financials[[#This Row],[ Discounts ]]/Financials[[#This Row],[  Sales ]]</f>
        <v/>
      </c>
      <c r="U40">
        <f>Financials[[#This Row],[  Sales ]]/Financials[[#This Row],[ Units_Sold ]]</f>
        <v/>
      </c>
      <c r="V40">
        <f>Financials[[#This Row],[ Profit ]]/Financials[[#This Row],[ Units_Sold ]]</f>
        <v/>
      </c>
      <c r="W40">
        <f>IF(Financials[[#This Row],[ Profit ]]&lt;0,1,0)</f>
        <v/>
      </c>
    </row>
    <row r="41">
      <c r="A41" t="inlineStr">
        <is>
          <t>Channel Partners</t>
        </is>
      </c>
      <c r="B41" t="inlineStr">
        <is>
          <t>Germany</t>
        </is>
      </c>
      <c r="C41" t="inlineStr">
        <is>
          <t xml:space="preserve"> VTT </t>
        </is>
      </c>
      <c r="D41" t="inlineStr">
        <is>
          <t xml:space="preserve"> None </t>
        </is>
      </c>
      <c r="E41" t="n">
        <v>2838</v>
      </c>
      <c r="F41" s="69" t="n">
        <v>250</v>
      </c>
      <c r="G41" s="69" t="n">
        <v>12</v>
      </c>
      <c r="H41" s="69" t="n">
        <v>34056</v>
      </c>
      <c r="I41" s="5" t="n">
        <v>0</v>
      </c>
      <c r="J41" s="69" t="n">
        <v>34056</v>
      </c>
      <c r="K41" s="69" t="n">
        <v>8514</v>
      </c>
      <c r="L41" s="69" t="n">
        <v>25542</v>
      </c>
      <c r="M41" s="1" t="n">
        <v>41643</v>
      </c>
      <c r="N41" t="n">
        <v>4</v>
      </c>
      <c r="O41" t="inlineStr">
        <is>
          <t xml:space="preserve"> April </t>
        </is>
      </c>
      <c r="P41" t="n">
        <v>2014</v>
      </c>
      <c r="Q41">
        <f>IF(Financials[[#This Row],[ Units_Sold ]]&lt;&gt;INT(Financials[[#This Row],[ Units_Sold ]]),1,0)</f>
        <v/>
      </c>
      <c r="R41" s="10">
        <f>Financials[[#This Row],[ Profit ]]/Financials[[#This Row],[  Sales ]]</f>
        <v/>
      </c>
      <c r="S41" s="2">
        <f>Financials[[#This Row],[ COGS ]]/Financials[[#This Row],[  Sales ]]</f>
        <v/>
      </c>
      <c r="T41" s="3">
        <f>Financials[[#This Row],[ Discounts ]]/Financials[[#This Row],[  Sales ]]</f>
        <v/>
      </c>
      <c r="U41">
        <f>Financials[[#This Row],[  Sales ]]/Financials[[#This Row],[ Units_Sold ]]</f>
        <v/>
      </c>
      <c r="V41">
        <f>Financials[[#This Row],[ Profit ]]/Financials[[#This Row],[ Units_Sold ]]</f>
        <v/>
      </c>
      <c r="W41">
        <f>IF(Financials[[#This Row],[ Profit ]]&lt;0,1,0)</f>
        <v/>
      </c>
    </row>
    <row r="42">
      <c r="A42" t="inlineStr">
        <is>
          <t>Midmarket</t>
        </is>
      </c>
      <c r="B42" t="inlineStr">
        <is>
          <t>France</t>
        </is>
      </c>
      <c r="C42" t="inlineStr">
        <is>
          <t xml:space="preserve"> VTT </t>
        </is>
      </c>
      <c r="D42" t="inlineStr">
        <is>
          <t xml:space="preserve"> None </t>
        </is>
      </c>
      <c r="E42" t="n">
        <v>2178</v>
      </c>
      <c r="F42" s="69" t="n">
        <v>250</v>
      </c>
      <c r="G42" s="69" t="n">
        <v>15</v>
      </c>
      <c r="H42" s="69" t="n">
        <v>32670</v>
      </c>
      <c r="I42" s="5" t="n">
        <v>0</v>
      </c>
      <c r="J42" s="69" t="n">
        <v>32670</v>
      </c>
      <c r="K42" s="69" t="n">
        <v>21780</v>
      </c>
      <c r="L42" s="69" t="n">
        <v>10890</v>
      </c>
      <c r="M42" s="1" t="n">
        <v>41645</v>
      </c>
      <c r="N42" t="n">
        <v>6</v>
      </c>
      <c r="O42" t="inlineStr">
        <is>
          <t xml:space="preserve"> June </t>
        </is>
      </c>
      <c r="P42" t="n">
        <v>2014</v>
      </c>
      <c r="Q42">
        <f>IF(Financials[[#This Row],[ Units_Sold ]]&lt;&gt;INT(Financials[[#This Row],[ Units_Sold ]]),1,0)</f>
        <v/>
      </c>
      <c r="R42" s="10">
        <f>Financials[[#This Row],[ Profit ]]/Financials[[#This Row],[  Sales ]]</f>
        <v/>
      </c>
      <c r="S42" s="2">
        <f>Financials[[#This Row],[ COGS ]]/Financials[[#This Row],[  Sales ]]</f>
        <v/>
      </c>
      <c r="T42" s="3">
        <f>Financials[[#This Row],[ Discounts ]]/Financials[[#This Row],[  Sales ]]</f>
        <v/>
      </c>
      <c r="U42">
        <f>Financials[[#This Row],[  Sales ]]/Financials[[#This Row],[ Units_Sold ]]</f>
        <v/>
      </c>
      <c r="V42">
        <f>Financials[[#This Row],[ Profit ]]/Financials[[#This Row],[ Units_Sold ]]</f>
        <v/>
      </c>
      <c r="W42">
        <f>IF(Financials[[#This Row],[ Profit ]]&lt;0,1,0)</f>
        <v/>
      </c>
    </row>
    <row r="43">
      <c r="A43" t="inlineStr">
        <is>
          <t>Midmarket</t>
        </is>
      </c>
      <c r="B43" t="inlineStr">
        <is>
          <t>Germany</t>
        </is>
      </c>
      <c r="C43" t="inlineStr">
        <is>
          <t xml:space="preserve"> VTT </t>
        </is>
      </c>
      <c r="D43" t="inlineStr">
        <is>
          <t xml:space="preserve"> None </t>
        </is>
      </c>
      <c r="E43" t="n">
        <v>888</v>
      </c>
      <c r="F43" s="69" t="n">
        <v>250</v>
      </c>
      <c r="G43" s="69" t="n">
        <v>15</v>
      </c>
      <c r="H43" s="69" t="n">
        <v>13320</v>
      </c>
      <c r="I43" s="5" t="n">
        <v>0</v>
      </c>
      <c r="J43" s="69" t="n">
        <v>13320</v>
      </c>
      <c r="K43" s="69" t="n">
        <v>8880</v>
      </c>
      <c r="L43" s="69" t="n">
        <v>4440</v>
      </c>
      <c r="M43" s="1" t="n">
        <v>41645</v>
      </c>
      <c r="N43" t="n">
        <v>6</v>
      </c>
      <c r="O43" t="inlineStr">
        <is>
          <t xml:space="preserve"> June </t>
        </is>
      </c>
      <c r="P43" t="n">
        <v>2014</v>
      </c>
      <c r="Q43">
        <f>IF(Financials[[#This Row],[ Units_Sold ]]&lt;&gt;INT(Financials[[#This Row],[ Units_Sold ]]),1,0)</f>
        <v/>
      </c>
      <c r="R43" s="10">
        <f>Financials[[#This Row],[ Profit ]]/Financials[[#This Row],[  Sales ]]</f>
        <v/>
      </c>
      <c r="S43" s="2">
        <f>Financials[[#This Row],[ COGS ]]/Financials[[#This Row],[  Sales ]]</f>
        <v/>
      </c>
      <c r="T43" s="3">
        <f>Financials[[#This Row],[ Discounts ]]/Financials[[#This Row],[  Sales ]]</f>
        <v/>
      </c>
      <c r="U43">
        <f>Financials[[#This Row],[  Sales ]]/Financials[[#This Row],[ Units_Sold ]]</f>
        <v/>
      </c>
      <c r="V43">
        <f>Financials[[#This Row],[ Profit ]]/Financials[[#This Row],[ Units_Sold ]]</f>
        <v/>
      </c>
      <c r="W43">
        <f>IF(Financials[[#This Row],[ Profit ]]&lt;0,1,0)</f>
        <v/>
      </c>
    </row>
    <row r="44">
      <c r="A44" t="inlineStr">
        <is>
          <t>Government</t>
        </is>
      </c>
      <c r="B44" t="inlineStr">
        <is>
          <t>France</t>
        </is>
      </c>
      <c r="C44" t="inlineStr">
        <is>
          <t xml:space="preserve"> VTT </t>
        </is>
      </c>
      <c r="D44" t="inlineStr">
        <is>
          <t xml:space="preserve"> None </t>
        </is>
      </c>
      <c r="E44" t="n">
        <v>1527</v>
      </c>
      <c r="F44" s="69" t="n">
        <v>250</v>
      </c>
      <c r="G44" s="69" t="n">
        <v>350</v>
      </c>
      <c r="H44" s="69" t="n">
        <v>534450</v>
      </c>
      <c r="I44" s="5" t="n">
        <v>0</v>
      </c>
      <c r="J44" s="69" t="n">
        <v>534450</v>
      </c>
      <c r="K44" s="69" t="n">
        <v>397020</v>
      </c>
      <c r="L44" s="69" t="n">
        <v>137430</v>
      </c>
      <c r="M44" s="1" t="n">
        <v>41283</v>
      </c>
      <c r="N44" t="n">
        <v>9</v>
      </c>
      <c r="O44" t="inlineStr">
        <is>
          <t xml:space="preserve"> September </t>
        </is>
      </c>
      <c r="P44" t="n">
        <v>2013</v>
      </c>
      <c r="Q44">
        <f>IF(Financials[[#This Row],[ Units_Sold ]]&lt;&gt;INT(Financials[[#This Row],[ Units_Sold ]]),1,0)</f>
        <v/>
      </c>
      <c r="R44" s="10">
        <f>Financials[[#This Row],[ Profit ]]/Financials[[#This Row],[  Sales ]]</f>
        <v/>
      </c>
      <c r="S44" s="2">
        <f>Financials[[#This Row],[ COGS ]]/Financials[[#This Row],[  Sales ]]</f>
        <v/>
      </c>
      <c r="T44" s="3">
        <f>Financials[[#This Row],[ Discounts ]]/Financials[[#This Row],[  Sales ]]</f>
        <v/>
      </c>
      <c r="U44">
        <f>Financials[[#This Row],[  Sales ]]/Financials[[#This Row],[ Units_Sold ]]</f>
        <v/>
      </c>
      <c r="V44">
        <f>Financials[[#This Row],[ Profit ]]/Financials[[#This Row],[ Units_Sold ]]</f>
        <v/>
      </c>
      <c r="W44">
        <f>IF(Financials[[#This Row],[ Profit ]]&lt;0,1,0)</f>
        <v/>
      </c>
    </row>
    <row r="45">
      <c r="A45" t="inlineStr">
        <is>
          <t>Small Business</t>
        </is>
      </c>
      <c r="B45" t="inlineStr">
        <is>
          <t>France</t>
        </is>
      </c>
      <c r="C45" t="inlineStr">
        <is>
          <t xml:space="preserve"> VTT </t>
        </is>
      </c>
      <c r="D45" t="inlineStr">
        <is>
          <t xml:space="preserve"> None </t>
        </is>
      </c>
      <c r="E45" t="n">
        <v>2151</v>
      </c>
      <c r="F45" s="69" t="n">
        <v>250</v>
      </c>
      <c r="G45" s="69" t="n">
        <v>300</v>
      </c>
      <c r="H45" s="69" t="n">
        <v>645300</v>
      </c>
      <c r="I45" s="5" t="n">
        <v>0</v>
      </c>
      <c r="J45" s="69" t="n">
        <v>645300</v>
      </c>
      <c r="K45" s="69" t="n">
        <v>537750</v>
      </c>
      <c r="L45" s="69" t="n">
        <v>107550</v>
      </c>
      <c r="M45" s="1" t="n">
        <v>41648</v>
      </c>
      <c r="N45" t="n">
        <v>9</v>
      </c>
      <c r="O45" t="inlineStr">
        <is>
          <t xml:space="preserve"> September </t>
        </is>
      </c>
      <c r="P45" t="n">
        <v>2014</v>
      </c>
      <c r="Q45">
        <f>IF(Financials[[#This Row],[ Units_Sold ]]&lt;&gt;INT(Financials[[#This Row],[ Units_Sold ]]),1,0)</f>
        <v/>
      </c>
      <c r="R45" s="10">
        <f>Financials[[#This Row],[ Profit ]]/Financials[[#This Row],[  Sales ]]</f>
        <v/>
      </c>
      <c r="S45" s="2">
        <f>Financials[[#This Row],[ COGS ]]/Financials[[#This Row],[  Sales ]]</f>
        <v/>
      </c>
      <c r="T45" s="3">
        <f>Financials[[#This Row],[ Discounts ]]/Financials[[#This Row],[  Sales ]]</f>
        <v/>
      </c>
      <c r="U45">
        <f>Financials[[#This Row],[  Sales ]]/Financials[[#This Row],[ Units_Sold ]]</f>
        <v/>
      </c>
      <c r="V45">
        <f>Financials[[#This Row],[ Profit ]]/Financials[[#This Row],[ Units_Sold ]]</f>
        <v/>
      </c>
      <c r="W45">
        <f>IF(Financials[[#This Row],[ Profit ]]&lt;0,1,0)</f>
        <v/>
      </c>
    </row>
    <row r="46">
      <c r="A46" t="inlineStr">
        <is>
          <t>Government</t>
        </is>
      </c>
      <c r="B46" t="inlineStr">
        <is>
          <t>Canada</t>
        </is>
      </c>
      <c r="C46" t="inlineStr">
        <is>
          <t xml:space="preserve"> VTT </t>
        </is>
      </c>
      <c r="D46" t="inlineStr">
        <is>
          <t xml:space="preserve"> None </t>
        </is>
      </c>
      <c r="E46" t="n">
        <v>1817</v>
      </c>
      <c r="F46" s="69" t="n">
        <v>250</v>
      </c>
      <c r="G46" s="69" t="n">
        <v>20</v>
      </c>
      <c r="H46" s="69" t="n">
        <v>36340</v>
      </c>
      <c r="I46" s="5" t="n">
        <v>0</v>
      </c>
      <c r="J46" s="69" t="n">
        <v>36340</v>
      </c>
      <c r="K46" s="69" t="n">
        <v>18170</v>
      </c>
      <c r="L46" s="69" t="n">
        <v>18170</v>
      </c>
      <c r="M46" s="1" t="n">
        <v>41651</v>
      </c>
      <c r="N46" t="n">
        <v>12</v>
      </c>
      <c r="O46" t="inlineStr">
        <is>
          <t xml:space="preserve"> December </t>
        </is>
      </c>
      <c r="P46" t="n">
        <v>2014</v>
      </c>
      <c r="Q46">
        <f>IF(Financials[[#This Row],[ Units_Sold ]]&lt;&gt;INT(Financials[[#This Row],[ Units_Sold ]]),1,0)</f>
        <v/>
      </c>
      <c r="R46" s="10">
        <f>Financials[[#This Row],[ Profit ]]/Financials[[#This Row],[  Sales ]]</f>
        <v/>
      </c>
      <c r="S46" s="2">
        <f>Financials[[#This Row],[ COGS ]]/Financials[[#This Row],[  Sales ]]</f>
        <v/>
      </c>
      <c r="T46" s="3">
        <f>Financials[[#This Row],[ Discounts ]]/Financials[[#This Row],[  Sales ]]</f>
        <v/>
      </c>
      <c r="U46">
        <f>Financials[[#This Row],[  Sales ]]/Financials[[#This Row],[ Units_Sold ]]</f>
        <v/>
      </c>
      <c r="V46">
        <f>Financials[[#This Row],[ Profit ]]/Financials[[#This Row],[ Units_Sold ]]</f>
        <v/>
      </c>
      <c r="W46">
        <f>IF(Financials[[#This Row],[ Profit ]]&lt;0,1,0)</f>
        <v/>
      </c>
    </row>
    <row r="47">
      <c r="A47" t="inlineStr">
        <is>
          <t>Government</t>
        </is>
      </c>
      <c r="B47" t="inlineStr">
        <is>
          <t>France</t>
        </is>
      </c>
      <c r="C47" t="inlineStr">
        <is>
          <t xml:space="preserve"> Amarilla </t>
        </is>
      </c>
      <c r="D47" t="inlineStr">
        <is>
          <t xml:space="preserve"> None </t>
        </is>
      </c>
      <c r="E47" t="n">
        <v>2750</v>
      </c>
      <c r="F47" s="69" t="n">
        <v>260</v>
      </c>
      <c r="G47" s="69" t="n">
        <v>350</v>
      </c>
      <c r="H47" s="69" t="n">
        <v>962500</v>
      </c>
      <c r="I47" s="5" t="n">
        <v>0</v>
      </c>
      <c r="J47" s="69" t="n">
        <v>962500</v>
      </c>
      <c r="K47" s="69" t="n">
        <v>715000</v>
      </c>
      <c r="L47" s="69" t="n">
        <v>247500</v>
      </c>
      <c r="M47" s="1" t="n">
        <v>41641</v>
      </c>
      <c r="N47" t="n">
        <v>2</v>
      </c>
      <c r="O47" t="inlineStr">
        <is>
          <t xml:space="preserve"> February </t>
        </is>
      </c>
      <c r="P47" t="n">
        <v>2014</v>
      </c>
      <c r="Q47">
        <f>IF(Financials[[#This Row],[ Units_Sold ]]&lt;&gt;INT(Financials[[#This Row],[ Units_Sold ]]),1,0)</f>
        <v/>
      </c>
      <c r="R47" s="10">
        <f>Financials[[#This Row],[ Profit ]]/Financials[[#This Row],[  Sales ]]</f>
        <v/>
      </c>
      <c r="S47" s="2">
        <f>Financials[[#This Row],[ COGS ]]/Financials[[#This Row],[  Sales ]]</f>
        <v/>
      </c>
      <c r="T47" s="3">
        <f>Financials[[#This Row],[ Discounts ]]/Financials[[#This Row],[  Sales ]]</f>
        <v/>
      </c>
      <c r="U47">
        <f>Financials[[#This Row],[  Sales ]]/Financials[[#This Row],[ Units_Sold ]]</f>
        <v/>
      </c>
      <c r="V47">
        <f>Financials[[#This Row],[ Profit ]]/Financials[[#This Row],[ Units_Sold ]]</f>
        <v/>
      </c>
      <c r="W47">
        <f>IF(Financials[[#This Row],[ Profit ]]&lt;0,1,0)</f>
        <v/>
      </c>
    </row>
    <row r="48">
      <c r="A48" t="inlineStr">
        <is>
          <t>Channel Partners</t>
        </is>
      </c>
      <c r="B48" t="inlineStr">
        <is>
          <t>United States of America</t>
        </is>
      </c>
      <c r="C48" t="inlineStr">
        <is>
          <t xml:space="preserve"> Amarilla </t>
        </is>
      </c>
      <c r="D48" t="inlineStr">
        <is>
          <t xml:space="preserve"> None </t>
        </is>
      </c>
      <c r="E48" t="n">
        <v>1953</v>
      </c>
      <c r="F48" s="69" t="n">
        <v>260</v>
      </c>
      <c r="G48" s="69" t="n">
        <v>12</v>
      </c>
      <c r="H48" s="69" t="n">
        <v>23436</v>
      </c>
      <c r="I48" s="5" t="n">
        <v>0</v>
      </c>
      <c r="J48" s="69" t="n">
        <v>23436</v>
      </c>
      <c r="K48" s="69" t="n">
        <v>5859</v>
      </c>
      <c r="L48" s="69" t="n">
        <v>17577</v>
      </c>
      <c r="M48" s="1" t="n">
        <v>41643</v>
      </c>
      <c r="N48" t="n">
        <v>4</v>
      </c>
      <c r="O48" t="inlineStr">
        <is>
          <t xml:space="preserve"> April </t>
        </is>
      </c>
      <c r="P48" t="n">
        <v>2014</v>
      </c>
      <c r="Q48">
        <f>IF(Financials[[#This Row],[ Units_Sold ]]&lt;&gt;INT(Financials[[#This Row],[ Units_Sold ]]),1,0)</f>
        <v/>
      </c>
      <c r="R48" s="10">
        <f>Financials[[#This Row],[ Profit ]]/Financials[[#This Row],[  Sales ]]</f>
        <v/>
      </c>
      <c r="S48" s="2">
        <f>Financials[[#This Row],[ COGS ]]/Financials[[#This Row],[  Sales ]]</f>
        <v/>
      </c>
      <c r="T48" s="3">
        <f>Financials[[#This Row],[ Discounts ]]/Financials[[#This Row],[  Sales ]]</f>
        <v/>
      </c>
      <c r="U48">
        <f>Financials[[#This Row],[  Sales ]]/Financials[[#This Row],[ Units_Sold ]]</f>
        <v/>
      </c>
      <c r="V48">
        <f>Financials[[#This Row],[ Profit ]]/Financials[[#This Row],[ Units_Sold ]]</f>
        <v/>
      </c>
      <c r="W48">
        <f>IF(Financials[[#This Row],[ Profit ]]&lt;0,1,0)</f>
        <v/>
      </c>
    </row>
    <row r="49">
      <c r="A49" t="inlineStr">
        <is>
          <t>Enterprise</t>
        </is>
      </c>
      <c r="B49" t="inlineStr">
        <is>
          <t>Germany</t>
        </is>
      </c>
      <c r="C49" t="inlineStr">
        <is>
          <t xml:space="preserve"> Amarilla </t>
        </is>
      </c>
      <c r="D49" t="inlineStr">
        <is>
          <t xml:space="preserve"> None </t>
        </is>
      </c>
      <c r="E49" t="n">
        <v>4219.5</v>
      </c>
      <c r="F49" s="69" t="n">
        <v>260</v>
      </c>
      <c r="G49" s="69" t="n">
        <v>125</v>
      </c>
      <c r="H49" s="69" t="n">
        <v>527437.5</v>
      </c>
      <c r="I49" s="5" t="n">
        <v>0</v>
      </c>
      <c r="J49" s="69" t="n">
        <v>527437.5</v>
      </c>
      <c r="K49" s="69" t="n">
        <v>506340</v>
      </c>
      <c r="L49" s="69" t="n">
        <v>21097.5</v>
      </c>
      <c r="M49" s="1" t="n">
        <v>41643</v>
      </c>
      <c r="N49" t="n">
        <v>4</v>
      </c>
      <c r="O49" t="inlineStr">
        <is>
          <t xml:space="preserve"> April </t>
        </is>
      </c>
      <c r="P49" t="n">
        <v>2014</v>
      </c>
      <c r="Q49">
        <f>IF(Financials[[#This Row],[ Units_Sold ]]&lt;&gt;INT(Financials[[#This Row],[ Units_Sold ]]),1,0)</f>
        <v/>
      </c>
      <c r="R49" s="10">
        <f>Financials[[#This Row],[ Profit ]]/Financials[[#This Row],[  Sales ]]</f>
        <v/>
      </c>
      <c r="S49" s="2">
        <f>Financials[[#This Row],[ COGS ]]/Financials[[#This Row],[  Sales ]]</f>
        <v/>
      </c>
      <c r="T49" s="3">
        <f>Financials[[#This Row],[ Discounts ]]/Financials[[#This Row],[  Sales ]]</f>
        <v/>
      </c>
      <c r="U49">
        <f>Financials[[#This Row],[  Sales ]]/Financials[[#This Row],[ Units_Sold ]]</f>
        <v/>
      </c>
      <c r="V49">
        <f>Financials[[#This Row],[ Profit ]]/Financials[[#This Row],[ Units_Sold ]]</f>
        <v/>
      </c>
      <c r="W49">
        <f>IF(Financials[[#This Row],[ Profit ]]&lt;0,1,0)</f>
        <v/>
      </c>
    </row>
    <row r="50">
      <c r="A50" t="inlineStr">
        <is>
          <t>Government</t>
        </is>
      </c>
      <c r="B50" t="inlineStr">
        <is>
          <t>France</t>
        </is>
      </c>
      <c r="C50" t="inlineStr">
        <is>
          <t xml:space="preserve"> Amarilla </t>
        </is>
      </c>
      <c r="D50" t="inlineStr">
        <is>
          <t xml:space="preserve"> None </t>
        </is>
      </c>
      <c r="E50" t="n">
        <v>1899</v>
      </c>
      <c r="F50" s="69" t="n">
        <v>260</v>
      </c>
      <c r="G50" s="69" t="n">
        <v>20</v>
      </c>
      <c r="H50" s="69" t="n">
        <v>37980</v>
      </c>
      <c r="I50" s="5" t="n">
        <v>0</v>
      </c>
      <c r="J50" s="69" t="n">
        <v>37980</v>
      </c>
      <c r="K50" s="69" t="n">
        <v>18990</v>
      </c>
      <c r="L50" s="69" t="n">
        <v>18990</v>
      </c>
      <c r="M50" s="1" t="n">
        <v>41645</v>
      </c>
      <c r="N50" t="n">
        <v>6</v>
      </c>
      <c r="O50" t="inlineStr">
        <is>
          <t xml:space="preserve"> June </t>
        </is>
      </c>
      <c r="P50" t="n">
        <v>2014</v>
      </c>
      <c r="Q50">
        <f>IF(Financials[[#This Row],[ Units_Sold ]]&lt;&gt;INT(Financials[[#This Row],[ Units_Sold ]]),1,0)</f>
        <v/>
      </c>
      <c r="R50" s="10">
        <f>Financials[[#This Row],[ Profit ]]/Financials[[#This Row],[  Sales ]]</f>
        <v/>
      </c>
      <c r="S50" s="2">
        <f>Financials[[#This Row],[ COGS ]]/Financials[[#This Row],[  Sales ]]</f>
        <v/>
      </c>
      <c r="T50" s="3">
        <f>Financials[[#This Row],[ Discounts ]]/Financials[[#This Row],[  Sales ]]</f>
        <v/>
      </c>
      <c r="U50">
        <f>Financials[[#This Row],[  Sales ]]/Financials[[#This Row],[ Units_Sold ]]</f>
        <v/>
      </c>
      <c r="V50">
        <f>Financials[[#This Row],[ Profit ]]/Financials[[#This Row],[ Units_Sold ]]</f>
        <v/>
      </c>
      <c r="W50">
        <f>IF(Financials[[#This Row],[ Profit ]]&lt;0,1,0)</f>
        <v/>
      </c>
    </row>
    <row r="51">
      <c r="A51" t="inlineStr">
        <is>
          <t>Government</t>
        </is>
      </c>
      <c r="B51" t="inlineStr">
        <is>
          <t>Germany</t>
        </is>
      </c>
      <c r="C51" t="inlineStr">
        <is>
          <t xml:space="preserve"> Amarilla </t>
        </is>
      </c>
      <c r="D51" t="inlineStr">
        <is>
          <t xml:space="preserve"> None </t>
        </is>
      </c>
      <c r="E51" t="n">
        <v>1686</v>
      </c>
      <c r="F51" s="69" t="n">
        <v>260</v>
      </c>
      <c r="G51" s="69" t="n">
        <v>7</v>
      </c>
      <c r="H51" s="69" t="n">
        <v>11802</v>
      </c>
      <c r="I51" s="5" t="n">
        <v>0</v>
      </c>
      <c r="J51" s="69" t="n">
        <v>11802</v>
      </c>
      <c r="K51" s="69" t="n">
        <v>8430</v>
      </c>
      <c r="L51" s="69" t="n">
        <v>3372</v>
      </c>
      <c r="M51" s="1" t="n">
        <v>41646</v>
      </c>
      <c r="N51" t="n">
        <v>7</v>
      </c>
      <c r="O51" t="inlineStr">
        <is>
          <t xml:space="preserve"> July </t>
        </is>
      </c>
      <c r="P51" t="n">
        <v>2014</v>
      </c>
      <c r="Q51">
        <f>IF(Financials[[#This Row],[ Units_Sold ]]&lt;&gt;INT(Financials[[#This Row],[ Units_Sold ]]),1,0)</f>
        <v/>
      </c>
      <c r="R51" s="10">
        <f>Financials[[#This Row],[ Profit ]]/Financials[[#This Row],[  Sales ]]</f>
        <v/>
      </c>
      <c r="S51" s="2">
        <f>Financials[[#This Row],[ COGS ]]/Financials[[#This Row],[  Sales ]]</f>
        <v/>
      </c>
      <c r="T51" s="3">
        <f>Financials[[#This Row],[ Discounts ]]/Financials[[#This Row],[  Sales ]]</f>
        <v/>
      </c>
      <c r="U51">
        <f>Financials[[#This Row],[  Sales ]]/Financials[[#This Row],[ Units_Sold ]]</f>
        <v/>
      </c>
      <c r="V51">
        <f>Financials[[#This Row],[ Profit ]]/Financials[[#This Row],[ Units_Sold ]]</f>
        <v/>
      </c>
      <c r="W51">
        <f>IF(Financials[[#This Row],[ Profit ]]&lt;0,1,0)</f>
        <v/>
      </c>
    </row>
    <row r="52">
      <c r="A52" t="inlineStr">
        <is>
          <t>Channel Partners</t>
        </is>
      </c>
      <c r="B52" t="inlineStr">
        <is>
          <t>United States of America</t>
        </is>
      </c>
      <c r="C52" t="inlineStr">
        <is>
          <t xml:space="preserve"> Amarilla </t>
        </is>
      </c>
      <c r="D52" t="inlineStr">
        <is>
          <t xml:space="preserve"> None </t>
        </is>
      </c>
      <c r="E52" t="n">
        <v>2141</v>
      </c>
      <c r="F52" s="69" t="n">
        <v>260</v>
      </c>
      <c r="G52" s="69" t="n">
        <v>12</v>
      </c>
      <c r="H52" s="69" t="n">
        <v>25692</v>
      </c>
      <c r="I52" s="5" t="n">
        <v>0</v>
      </c>
      <c r="J52" s="69" t="n">
        <v>25692</v>
      </c>
      <c r="K52" s="69" t="n">
        <v>6423</v>
      </c>
      <c r="L52" s="69" t="n">
        <v>19269</v>
      </c>
      <c r="M52" s="1" t="n">
        <v>41647</v>
      </c>
      <c r="N52" t="n">
        <v>8</v>
      </c>
      <c r="O52" t="inlineStr">
        <is>
          <t xml:space="preserve"> August </t>
        </is>
      </c>
      <c r="P52" t="n">
        <v>2014</v>
      </c>
      <c r="Q52">
        <f>IF(Financials[[#This Row],[ Units_Sold ]]&lt;&gt;INT(Financials[[#This Row],[ Units_Sold ]]),1,0)</f>
        <v/>
      </c>
      <c r="R52" s="10">
        <f>Financials[[#This Row],[ Profit ]]/Financials[[#This Row],[  Sales ]]</f>
        <v/>
      </c>
      <c r="S52" s="2">
        <f>Financials[[#This Row],[ COGS ]]/Financials[[#This Row],[  Sales ]]</f>
        <v/>
      </c>
      <c r="T52" s="3">
        <f>Financials[[#This Row],[ Discounts ]]/Financials[[#This Row],[  Sales ]]</f>
        <v/>
      </c>
      <c r="U52">
        <f>Financials[[#This Row],[  Sales ]]/Financials[[#This Row],[ Units_Sold ]]</f>
        <v/>
      </c>
      <c r="V52">
        <f>Financials[[#This Row],[ Profit ]]/Financials[[#This Row],[ Units_Sold ]]</f>
        <v/>
      </c>
      <c r="W52">
        <f>IF(Financials[[#This Row],[ Profit ]]&lt;0,1,0)</f>
        <v/>
      </c>
    </row>
    <row r="53">
      <c r="A53" t="inlineStr">
        <is>
          <t>Government</t>
        </is>
      </c>
      <c r="B53" t="inlineStr">
        <is>
          <t>United States of America</t>
        </is>
      </c>
      <c r="C53" t="inlineStr">
        <is>
          <t xml:space="preserve"> Amarilla </t>
        </is>
      </c>
      <c r="D53" t="inlineStr">
        <is>
          <t xml:space="preserve"> None </t>
        </is>
      </c>
      <c r="E53" t="n">
        <v>1143</v>
      </c>
      <c r="F53" s="69" t="n">
        <v>260</v>
      </c>
      <c r="G53" s="69" t="n">
        <v>7</v>
      </c>
      <c r="H53" s="69" t="n">
        <v>8001</v>
      </c>
      <c r="I53" s="5" t="n">
        <v>0</v>
      </c>
      <c r="J53" s="69" t="n">
        <v>8001</v>
      </c>
      <c r="K53" s="69" t="n">
        <v>5715</v>
      </c>
      <c r="L53" s="69" t="n">
        <v>2286</v>
      </c>
      <c r="M53" s="1" t="n">
        <v>41649</v>
      </c>
      <c r="N53" t="n">
        <v>10</v>
      </c>
      <c r="O53" t="inlineStr">
        <is>
          <t xml:space="preserve"> October </t>
        </is>
      </c>
      <c r="P53" t="n">
        <v>2014</v>
      </c>
      <c r="Q53">
        <f>IF(Financials[[#This Row],[ Units_Sold ]]&lt;&gt;INT(Financials[[#This Row],[ Units_Sold ]]),1,0)</f>
        <v/>
      </c>
      <c r="R53" s="10">
        <f>Financials[[#This Row],[ Profit ]]/Financials[[#This Row],[  Sales ]]</f>
        <v/>
      </c>
      <c r="S53" s="2">
        <f>Financials[[#This Row],[ COGS ]]/Financials[[#This Row],[  Sales ]]</f>
        <v/>
      </c>
      <c r="T53" s="3">
        <f>Financials[[#This Row],[ Discounts ]]/Financials[[#This Row],[  Sales ]]</f>
        <v/>
      </c>
      <c r="U53">
        <f>Financials[[#This Row],[  Sales ]]/Financials[[#This Row],[ Units_Sold ]]</f>
        <v/>
      </c>
      <c r="V53">
        <f>Financials[[#This Row],[ Profit ]]/Financials[[#This Row],[ Units_Sold ]]</f>
        <v/>
      </c>
      <c r="W53">
        <f>IF(Financials[[#This Row],[ Profit ]]&lt;0,1,0)</f>
        <v/>
      </c>
    </row>
    <row r="54">
      <c r="A54" t="inlineStr">
        <is>
          <t>Midmarket</t>
        </is>
      </c>
      <c r="B54" t="inlineStr">
        <is>
          <t>United States of America</t>
        </is>
      </c>
      <c r="C54" t="inlineStr">
        <is>
          <t xml:space="preserve"> Amarilla </t>
        </is>
      </c>
      <c r="D54" t="inlineStr">
        <is>
          <t xml:space="preserve"> None </t>
        </is>
      </c>
      <c r="E54" t="n">
        <v>615</v>
      </c>
      <c r="F54" s="69" t="n">
        <v>260</v>
      </c>
      <c r="G54" s="69" t="n">
        <v>15</v>
      </c>
      <c r="H54" s="69" t="n">
        <v>9225</v>
      </c>
      <c r="I54" s="5" t="n">
        <v>0</v>
      </c>
      <c r="J54" s="69" t="n">
        <v>9225</v>
      </c>
      <c r="K54" s="69" t="n">
        <v>6150</v>
      </c>
      <c r="L54" s="69" t="n">
        <v>3075</v>
      </c>
      <c r="M54" s="1" t="n">
        <v>41651</v>
      </c>
      <c r="N54" t="n">
        <v>12</v>
      </c>
      <c r="O54" t="inlineStr">
        <is>
          <t xml:space="preserve"> December </t>
        </is>
      </c>
      <c r="P54" t="n">
        <v>2014</v>
      </c>
      <c r="Q54">
        <f>IF(Financials[[#This Row],[ Units_Sold ]]&lt;&gt;INT(Financials[[#This Row],[ Units_Sold ]]),1,0)</f>
        <v/>
      </c>
      <c r="R54" s="10">
        <f>Financials[[#This Row],[ Profit ]]/Financials[[#This Row],[  Sales ]]</f>
        <v/>
      </c>
      <c r="S54" s="2">
        <f>Financials[[#This Row],[ COGS ]]/Financials[[#This Row],[  Sales ]]</f>
        <v/>
      </c>
      <c r="T54" s="3">
        <f>Financials[[#This Row],[ Discounts ]]/Financials[[#This Row],[  Sales ]]</f>
        <v/>
      </c>
      <c r="U54">
        <f>Financials[[#This Row],[  Sales ]]/Financials[[#This Row],[ Units_Sold ]]</f>
        <v/>
      </c>
      <c r="V54">
        <f>Financials[[#This Row],[ Profit ]]/Financials[[#This Row],[ Units_Sold ]]</f>
        <v/>
      </c>
      <c r="W54">
        <f>IF(Financials[[#This Row],[ Profit ]]&lt;0,1,0)</f>
        <v/>
      </c>
    </row>
    <row r="55">
      <c r="A55" t="inlineStr">
        <is>
          <t>Government</t>
        </is>
      </c>
      <c r="B55" t="inlineStr">
        <is>
          <t>France</t>
        </is>
      </c>
      <c r="C55" t="inlineStr">
        <is>
          <t xml:space="preserve"> Paseo </t>
        </is>
      </c>
      <c r="D55" t="inlineStr">
        <is>
          <t xml:space="preserve"> Low </t>
        </is>
      </c>
      <c r="E55" t="n">
        <v>3945</v>
      </c>
      <c r="F55" s="69" t="n">
        <v>10</v>
      </c>
      <c r="G55" s="69" t="n">
        <v>7</v>
      </c>
      <c r="H55" s="69" t="n">
        <v>27615</v>
      </c>
      <c r="I55" s="5" t="n">
        <v>276.15</v>
      </c>
      <c r="J55" s="69" t="n">
        <v>27338.85</v>
      </c>
      <c r="K55" s="69" t="n">
        <v>19725</v>
      </c>
      <c r="L55" s="69" t="n">
        <v>7613.85</v>
      </c>
      <c r="M55" s="1" t="n">
        <v>41640</v>
      </c>
      <c r="N55" t="n">
        <v>1</v>
      </c>
      <c r="O55" t="inlineStr">
        <is>
          <t xml:space="preserve"> January </t>
        </is>
      </c>
      <c r="P55" t="n">
        <v>2014</v>
      </c>
      <c r="Q55">
        <f>IF(Financials[[#This Row],[ Units_Sold ]]&lt;&gt;INT(Financials[[#This Row],[ Units_Sold ]]),1,0)</f>
        <v/>
      </c>
      <c r="R55" s="10">
        <f>Financials[[#This Row],[ Profit ]]/Financials[[#This Row],[  Sales ]]</f>
        <v/>
      </c>
      <c r="S55" s="2">
        <f>Financials[[#This Row],[ COGS ]]/Financials[[#This Row],[  Sales ]]</f>
        <v/>
      </c>
      <c r="T55" s="3">
        <f>Financials[[#This Row],[ Discounts ]]/Financials[[#This Row],[  Sales ]]</f>
        <v/>
      </c>
      <c r="U55">
        <f>Financials[[#This Row],[  Sales ]]/Financials[[#This Row],[ Units_Sold ]]</f>
        <v/>
      </c>
      <c r="V55">
        <f>Financials[[#This Row],[ Profit ]]/Financials[[#This Row],[ Units_Sold ]]</f>
        <v/>
      </c>
      <c r="W55">
        <f>IF(Financials[[#This Row],[ Profit ]]&lt;0,1,0)</f>
        <v/>
      </c>
    </row>
    <row r="56">
      <c r="A56" t="inlineStr">
        <is>
          <t>Midmarket</t>
        </is>
      </c>
      <c r="B56" t="inlineStr">
        <is>
          <t>France</t>
        </is>
      </c>
      <c r="C56" t="inlineStr">
        <is>
          <t xml:space="preserve"> Paseo </t>
        </is>
      </c>
      <c r="D56" t="inlineStr">
        <is>
          <t xml:space="preserve"> Low </t>
        </is>
      </c>
      <c r="E56" t="n">
        <v>2296</v>
      </c>
      <c r="F56" s="69" t="n">
        <v>10</v>
      </c>
      <c r="G56" s="69" t="n">
        <v>15</v>
      </c>
      <c r="H56" s="69" t="n">
        <v>34440</v>
      </c>
      <c r="I56" s="5" t="n">
        <v>344.4</v>
      </c>
      <c r="J56" s="69" t="n">
        <v>34095.6</v>
      </c>
      <c r="K56" s="69" t="n">
        <v>22960</v>
      </c>
      <c r="L56" s="69" t="n">
        <v>11135.6</v>
      </c>
      <c r="M56" s="1" t="n">
        <v>41641</v>
      </c>
      <c r="N56" t="n">
        <v>2</v>
      </c>
      <c r="O56" t="inlineStr">
        <is>
          <t xml:space="preserve"> February </t>
        </is>
      </c>
      <c r="P56" t="n">
        <v>2014</v>
      </c>
      <c r="Q56">
        <f>IF(Financials[[#This Row],[ Units_Sold ]]&lt;&gt;INT(Financials[[#This Row],[ Units_Sold ]]),1,0)</f>
        <v/>
      </c>
      <c r="R56" s="10">
        <f>Financials[[#This Row],[ Profit ]]/Financials[[#This Row],[  Sales ]]</f>
        <v/>
      </c>
      <c r="S56" s="2">
        <f>Financials[[#This Row],[ COGS ]]/Financials[[#This Row],[  Sales ]]</f>
        <v/>
      </c>
      <c r="T56" s="3">
        <f>Financials[[#This Row],[ Discounts ]]/Financials[[#This Row],[  Sales ]]</f>
        <v/>
      </c>
      <c r="U56">
        <f>Financials[[#This Row],[  Sales ]]/Financials[[#This Row],[ Units_Sold ]]</f>
        <v/>
      </c>
      <c r="V56">
        <f>Financials[[#This Row],[ Profit ]]/Financials[[#This Row],[ Units_Sold ]]</f>
        <v/>
      </c>
      <c r="W56">
        <f>IF(Financials[[#This Row],[ Profit ]]&lt;0,1,0)</f>
        <v/>
      </c>
    </row>
    <row r="57">
      <c r="A57" t="inlineStr">
        <is>
          <t>Government</t>
        </is>
      </c>
      <c r="B57" t="inlineStr">
        <is>
          <t>France</t>
        </is>
      </c>
      <c r="C57" t="inlineStr">
        <is>
          <t xml:space="preserve"> Paseo </t>
        </is>
      </c>
      <c r="D57" t="inlineStr">
        <is>
          <t xml:space="preserve"> Low </t>
        </is>
      </c>
      <c r="E57" t="n">
        <v>1030</v>
      </c>
      <c r="F57" s="69" t="n">
        <v>10</v>
      </c>
      <c r="G57" s="69" t="n">
        <v>7</v>
      </c>
      <c r="H57" s="69" t="n">
        <v>7210</v>
      </c>
      <c r="I57" s="5" t="n">
        <v>72.09999999999999</v>
      </c>
      <c r="J57" s="69" t="n">
        <v>7137.9</v>
      </c>
      <c r="K57" s="69" t="n">
        <v>5150</v>
      </c>
      <c r="L57" s="69" t="n">
        <v>1987.9</v>
      </c>
      <c r="M57" s="1" t="n">
        <v>41644</v>
      </c>
      <c r="N57" t="n">
        <v>5</v>
      </c>
      <c r="O57" t="inlineStr">
        <is>
          <t xml:space="preserve"> May </t>
        </is>
      </c>
      <c r="P57" t="n">
        <v>2014</v>
      </c>
      <c r="Q57">
        <f>IF(Financials[[#This Row],[ Units_Sold ]]&lt;&gt;INT(Financials[[#This Row],[ Units_Sold ]]),1,0)</f>
        <v/>
      </c>
      <c r="R57" s="10">
        <f>Financials[[#This Row],[ Profit ]]/Financials[[#This Row],[  Sales ]]</f>
        <v/>
      </c>
      <c r="S57" s="2">
        <f>Financials[[#This Row],[ COGS ]]/Financials[[#This Row],[  Sales ]]</f>
        <v/>
      </c>
      <c r="T57" s="3">
        <f>Financials[[#This Row],[ Discounts ]]/Financials[[#This Row],[  Sales ]]</f>
        <v/>
      </c>
      <c r="U57">
        <f>Financials[[#This Row],[  Sales ]]/Financials[[#This Row],[ Units_Sold ]]</f>
        <v/>
      </c>
      <c r="V57">
        <f>Financials[[#This Row],[ Profit ]]/Financials[[#This Row],[ Units_Sold ]]</f>
        <v/>
      </c>
      <c r="W57">
        <f>IF(Financials[[#This Row],[ Profit ]]&lt;0,1,0)</f>
        <v/>
      </c>
    </row>
    <row r="58">
      <c r="A58" t="inlineStr">
        <is>
          <t>Government</t>
        </is>
      </c>
      <c r="B58" t="inlineStr">
        <is>
          <t>France</t>
        </is>
      </c>
      <c r="C58" t="inlineStr">
        <is>
          <t xml:space="preserve"> Velo </t>
        </is>
      </c>
      <c r="D58" t="inlineStr">
        <is>
          <t xml:space="preserve"> Low </t>
        </is>
      </c>
      <c r="E58" t="n">
        <v>639</v>
      </c>
      <c r="F58" s="69" t="n">
        <v>120</v>
      </c>
      <c r="G58" s="69" t="n">
        <v>7</v>
      </c>
      <c r="H58" s="69" t="n">
        <v>4473</v>
      </c>
      <c r="I58" s="5" t="n">
        <v>44.73</v>
      </c>
      <c r="J58" s="69" t="n">
        <v>4428.27</v>
      </c>
      <c r="K58" s="69" t="n">
        <v>3195</v>
      </c>
      <c r="L58" s="69" t="n">
        <v>1233.27</v>
      </c>
      <c r="M58" s="1" t="n">
        <v>41650</v>
      </c>
      <c r="N58" t="n">
        <v>11</v>
      </c>
      <c r="O58" t="inlineStr">
        <is>
          <t xml:space="preserve"> November </t>
        </is>
      </c>
      <c r="P58" t="n">
        <v>2014</v>
      </c>
      <c r="Q58">
        <f>IF(Financials[[#This Row],[ Units_Sold ]]&lt;&gt;INT(Financials[[#This Row],[ Units_Sold ]]),1,0)</f>
        <v/>
      </c>
      <c r="R58" s="10">
        <f>Financials[[#This Row],[ Profit ]]/Financials[[#This Row],[  Sales ]]</f>
        <v/>
      </c>
      <c r="S58" s="2">
        <f>Financials[[#This Row],[ COGS ]]/Financials[[#This Row],[  Sales ]]</f>
        <v/>
      </c>
      <c r="T58" s="3">
        <f>Financials[[#This Row],[ Discounts ]]/Financials[[#This Row],[  Sales ]]</f>
        <v/>
      </c>
      <c r="U58">
        <f>Financials[[#This Row],[  Sales ]]/Financials[[#This Row],[ Units_Sold ]]</f>
        <v/>
      </c>
      <c r="V58">
        <f>Financials[[#This Row],[ Profit ]]/Financials[[#This Row],[ Units_Sold ]]</f>
        <v/>
      </c>
      <c r="W58">
        <f>IF(Financials[[#This Row],[ Profit ]]&lt;0,1,0)</f>
        <v/>
      </c>
    </row>
    <row r="59">
      <c r="A59" t="inlineStr">
        <is>
          <t>Government</t>
        </is>
      </c>
      <c r="B59" t="inlineStr">
        <is>
          <t>Canada</t>
        </is>
      </c>
      <c r="C59" t="inlineStr">
        <is>
          <t xml:space="preserve"> VTT </t>
        </is>
      </c>
      <c r="D59" t="inlineStr">
        <is>
          <t xml:space="preserve"> Low </t>
        </is>
      </c>
      <c r="E59" t="n">
        <v>1326</v>
      </c>
      <c r="F59" s="69" t="n">
        <v>250</v>
      </c>
      <c r="G59" s="69" t="n">
        <v>7</v>
      </c>
      <c r="H59" s="69" t="n">
        <v>9282</v>
      </c>
      <c r="I59" s="5" t="n">
        <v>92.81999999999999</v>
      </c>
      <c r="J59" s="69" t="n">
        <v>9189.18</v>
      </c>
      <c r="K59" s="69" t="n">
        <v>6630</v>
      </c>
      <c r="L59" s="69" t="n">
        <v>2559.18</v>
      </c>
      <c r="M59" s="1" t="n">
        <v>41642</v>
      </c>
      <c r="N59" t="n">
        <v>3</v>
      </c>
      <c r="O59" t="inlineStr">
        <is>
          <t xml:space="preserve"> March </t>
        </is>
      </c>
      <c r="P59" t="n">
        <v>2014</v>
      </c>
      <c r="Q59">
        <f>IF(Financials[[#This Row],[ Units_Sold ]]&lt;&gt;INT(Financials[[#This Row],[ Units_Sold ]]),1,0)</f>
        <v/>
      </c>
      <c r="R59" s="10">
        <f>Financials[[#This Row],[ Profit ]]/Financials[[#This Row],[  Sales ]]</f>
        <v/>
      </c>
      <c r="S59" s="2">
        <f>Financials[[#This Row],[ COGS ]]/Financials[[#This Row],[  Sales ]]</f>
        <v/>
      </c>
      <c r="T59" s="3">
        <f>Financials[[#This Row],[ Discounts ]]/Financials[[#This Row],[  Sales ]]</f>
        <v/>
      </c>
      <c r="U59">
        <f>Financials[[#This Row],[  Sales ]]/Financials[[#This Row],[ Units_Sold ]]</f>
        <v/>
      </c>
      <c r="V59">
        <f>Financials[[#This Row],[ Profit ]]/Financials[[#This Row],[ Units_Sold ]]</f>
        <v/>
      </c>
      <c r="W59">
        <f>IF(Financials[[#This Row],[ Profit ]]&lt;0,1,0)</f>
        <v/>
      </c>
    </row>
    <row r="60">
      <c r="A60" t="inlineStr">
        <is>
          <t>Channel Partners</t>
        </is>
      </c>
      <c r="B60" t="inlineStr">
        <is>
          <t>United States of America</t>
        </is>
      </c>
      <c r="C60" t="inlineStr">
        <is>
          <t xml:space="preserve"> Carretera </t>
        </is>
      </c>
      <c r="D60" t="inlineStr">
        <is>
          <t xml:space="preserve"> Low </t>
        </is>
      </c>
      <c r="E60" t="n">
        <v>1858</v>
      </c>
      <c r="F60" s="69" t="n">
        <v>3</v>
      </c>
      <c r="G60" s="69" t="n">
        <v>12</v>
      </c>
      <c r="H60" s="69" t="n">
        <v>22296</v>
      </c>
      <c r="I60" s="5" t="n">
        <v>222.96</v>
      </c>
      <c r="J60" s="69" t="n">
        <v>22073.04</v>
      </c>
      <c r="K60" s="69" t="n">
        <v>5574</v>
      </c>
      <c r="L60" s="69" t="n">
        <v>16499.04</v>
      </c>
      <c r="M60" s="1" t="n">
        <v>41641</v>
      </c>
      <c r="N60" t="n">
        <v>2</v>
      </c>
      <c r="O60" t="inlineStr">
        <is>
          <t xml:space="preserve"> February </t>
        </is>
      </c>
      <c r="P60" t="n">
        <v>2014</v>
      </c>
      <c r="Q60">
        <f>IF(Financials[[#This Row],[ Units_Sold ]]&lt;&gt;INT(Financials[[#This Row],[ Units_Sold ]]),1,0)</f>
        <v/>
      </c>
      <c r="R60" s="10">
        <f>Financials[[#This Row],[ Profit ]]/Financials[[#This Row],[  Sales ]]</f>
        <v/>
      </c>
      <c r="S60" s="2">
        <f>Financials[[#This Row],[ COGS ]]/Financials[[#This Row],[  Sales ]]</f>
        <v/>
      </c>
      <c r="T60" s="3">
        <f>Financials[[#This Row],[ Discounts ]]/Financials[[#This Row],[  Sales ]]</f>
        <v/>
      </c>
      <c r="U60">
        <f>Financials[[#This Row],[  Sales ]]/Financials[[#This Row],[ Units_Sold ]]</f>
        <v/>
      </c>
      <c r="V60">
        <f>Financials[[#This Row],[ Profit ]]/Financials[[#This Row],[ Units_Sold ]]</f>
        <v/>
      </c>
      <c r="W60">
        <f>IF(Financials[[#This Row],[ Profit ]]&lt;0,1,0)</f>
        <v/>
      </c>
    </row>
    <row r="61">
      <c r="A61" t="inlineStr">
        <is>
          <t>Government</t>
        </is>
      </c>
      <c r="B61" t="inlineStr">
        <is>
          <t>Mexico</t>
        </is>
      </c>
      <c r="C61" t="inlineStr">
        <is>
          <t xml:space="preserve"> Carretera </t>
        </is>
      </c>
      <c r="D61" t="inlineStr">
        <is>
          <t xml:space="preserve"> Low </t>
        </is>
      </c>
      <c r="E61" t="n">
        <v>1210</v>
      </c>
      <c r="F61" s="69" t="n">
        <v>3</v>
      </c>
      <c r="G61" s="69" t="n">
        <v>350</v>
      </c>
      <c r="H61" s="69" t="n">
        <v>423500</v>
      </c>
      <c r="I61" s="5" t="n">
        <v>4235</v>
      </c>
      <c r="J61" s="69" t="n">
        <v>419265</v>
      </c>
      <c r="K61" s="69" t="n">
        <v>314600</v>
      </c>
      <c r="L61" s="69" t="n">
        <v>104665</v>
      </c>
      <c r="M61" s="1" t="n">
        <v>41642</v>
      </c>
      <c r="N61" t="n">
        <v>3</v>
      </c>
      <c r="O61" t="inlineStr">
        <is>
          <t xml:space="preserve"> March </t>
        </is>
      </c>
      <c r="P61" t="n">
        <v>2014</v>
      </c>
      <c r="Q61">
        <f>IF(Financials[[#This Row],[ Units_Sold ]]&lt;&gt;INT(Financials[[#This Row],[ Units_Sold ]]),1,0)</f>
        <v/>
      </c>
      <c r="R61" s="10">
        <f>Financials[[#This Row],[ Profit ]]/Financials[[#This Row],[  Sales ]]</f>
        <v/>
      </c>
      <c r="S61" s="2">
        <f>Financials[[#This Row],[ COGS ]]/Financials[[#This Row],[  Sales ]]</f>
        <v/>
      </c>
      <c r="T61" s="3">
        <f>Financials[[#This Row],[ Discounts ]]/Financials[[#This Row],[  Sales ]]</f>
        <v/>
      </c>
      <c r="U61">
        <f>Financials[[#This Row],[  Sales ]]/Financials[[#This Row],[ Units_Sold ]]</f>
        <v/>
      </c>
      <c r="V61">
        <f>Financials[[#This Row],[ Profit ]]/Financials[[#This Row],[ Units_Sold ]]</f>
        <v/>
      </c>
      <c r="W61">
        <f>IF(Financials[[#This Row],[ Profit ]]&lt;0,1,0)</f>
        <v/>
      </c>
    </row>
    <row r="62">
      <c r="A62" t="inlineStr">
        <is>
          <t>Government</t>
        </is>
      </c>
      <c r="B62" t="inlineStr">
        <is>
          <t>United States of America</t>
        </is>
      </c>
      <c r="C62" t="inlineStr">
        <is>
          <t xml:space="preserve"> Carretera </t>
        </is>
      </c>
      <c r="D62" t="inlineStr">
        <is>
          <t xml:space="preserve"> Low </t>
        </is>
      </c>
      <c r="E62" t="n">
        <v>2529</v>
      </c>
      <c r="F62" s="69" t="n">
        <v>3</v>
      </c>
      <c r="G62" s="69" t="n">
        <v>7</v>
      </c>
      <c r="H62" s="69" t="n">
        <v>17703</v>
      </c>
      <c r="I62" s="5" t="n">
        <v>177.03</v>
      </c>
      <c r="J62" s="69" t="n">
        <v>17525.97</v>
      </c>
      <c r="K62" s="69" t="n">
        <v>12645</v>
      </c>
      <c r="L62" s="69" t="n">
        <v>4880.97</v>
      </c>
      <c r="M62" s="1" t="n">
        <v>41646</v>
      </c>
      <c r="N62" t="n">
        <v>7</v>
      </c>
      <c r="O62" t="inlineStr">
        <is>
          <t xml:space="preserve"> July </t>
        </is>
      </c>
      <c r="P62" t="n">
        <v>2014</v>
      </c>
      <c r="Q62">
        <f>IF(Financials[[#This Row],[ Units_Sold ]]&lt;&gt;INT(Financials[[#This Row],[ Units_Sold ]]),1,0)</f>
        <v/>
      </c>
      <c r="R62" s="10">
        <f>Financials[[#This Row],[ Profit ]]/Financials[[#This Row],[  Sales ]]</f>
        <v/>
      </c>
      <c r="S62" s="2">
        <f>Financials[[#This Row],[ COGS ]]/Financials[[#This Row],[  Sales ]]</f>
        <v/>
      </c>
      <c r="T62" s="3">
        <f>Financials[[#This Row],[ Discounts ]]/Financials[[#This Row],[  Sales ]]</f>
        <v/>
      </c>
      <c r="U62">
        <f>Financials[[#This Row],[  Sales ]]/Financials[[#This Row],[ Units_Sold ]]</f>
        <v/>
      </c>
      <c r="V62">
        <f>Financials[[#This Row],[ Profit ]]/Financials[[#This Row],[ Units_Sold ]]</f>
        <v/>
      </c>
      <c r="W62">
        <f>IF(Financials[[#This Row],[ Profit ]]&lt;0,1,0)</f>
        <v/>
      </c>
    </row>
    <row r="63">
      <c r="A63" t="inlineStr">
        <is>
          <t>Channel Partners</t>
        </is>
      </c>
      <c r="B63" t="inlineStr">
        <is>
          <t>Canada</t>
        </is>
      </c>
      <c r="C63" t="inlineStr">
        <is>
          <t xml:space="preserve"> Carretera </t>
        </is>
      </c>
      <c r="D63" t="inlineStr">
        <is>
          <t xml:space="preserve"> Low </t>
        </is>
      </c>
      <c r="E63" t="n">
        <v>1445</v>
      </c>
      <c r="F63" s="69" t="n">
        <v>3</v>
      </c>
      <c r="G63" s="69" t="n">
        <v>12</v>
      </c>
      <c r="H63" s="69" t="n">
        <v>17340</v>
      </c>
      <c r="I63" s="5" t="n">
        <v>173.4</v>
      </c>
      <c r="J63" s="69" t="n">
        <v>17166.6</v>
      </c>
      <c r="K63" s="69" t="n">
        <v>4335</v>
      </c>
      <c r="L63" s="69" t="n">
        <v>12831.6</v>
      </c>
      <c r="M63" s="1" t="n">
        <v>41648</v>
      </c>
      <c r="N63" t="n">
        <v>9</v>
      </c>
      <c r="O63" t="inlineStr">
        <is>
          <t xml:space="preserve"> September </t>
        </is>
      </c>
      <c r="P63" t="n">
        <v>2014</v>
      </c>
      <c r="Q63">
        <f>IF(Financials[[#This Row],[ Units_Sold ]]&lt;&gt;INT(Financials[[#This Row],[ Units_Sold ]]),1,0)</f>
        <v/>
      </c>
      <c r="R63" s="10">
        <f>Financials[[#This Row],[ Profit ]]/Financials[[#This Row],[  Sales ]]</f>
        <v/>
      </c>
      <c r="S63" s="2">
        <f>Financials[[#This Row],[ COGS ]]/Financials[[#This Row],[  Sales ]]</f>
        <v/>
      </c>
      <c r="T63" s="3">
        <f>Financials[[#This Row],[ Discounts ]]/Financials[[#This Row],[  Sales ]]</f>
        <v/>
      </c>
      <c r="U63">
        <f>Financials[[#This Row],[  Sales ]]/Financials[[#This Row],[ Units_Sold ]]</f>
        <v/>
      </c>
      <c r="V63">
        <f>Financials[[#This Row],[ Profit ]]/Financials[[#This Row],[ Units_Sold ]]</f>
        <v/>
      </c>
      <c r="W63">
        <f>IF(Financials[[#This Row],[ Profit ]]&lt;0,1,0)</f>
        <v/>
      </c>
    </row>
    <row r="64">
      <c r="A64" t="inlineStr">
        <is>
          <t>Enterprise</t>
        </is>
      </c>
      <c r="B64" t="inlineStr">
        <is>
          <t>United States of America</t>
        </is>
      </c>
      <c r="C64" t="inlineStr">
        <is>
          <t xml:space="preserve"> Carretera </t>
        </is>
      </c>
      <c r="D64" t="inlineStr">
        <is>
          <t xml:space="preserve"> Low </t>
        </is>
      </c>
      <c r="E64" t="n">
        <v>330</v>
      </c>
      <c r="F64" s="69" t="n">
        <v>3</v>
      </c>
      <c r="G64" s="69" t="n">
        <v>125</v>
      </c>
      <c r="H64" s="69" t="n">
        <v>41250</v>
      </c>
      <c r="I64" s="5" t="n">
        <v>412.5</v>
      </c>
      <c r="J64" s="69" t="n">
        <v>40837.5</v>
      </c>
      <c r="K64" s="69" t="n">
        <v>39600</v>
      </c>
      <c r="L64" s="69" t="n">
        <v>1237.5</v>
      </c>
      <c r="M64" s="1" t="n">
        <v>41283</v>
      </c>
      <c r="N64" t="n">
        <v>9</v>
      </c>
      <c r="O64" t="inlineStr">
        <is>
          <t xml:space="preserve"> September </t>
        </is>
      </c>
      <c r="P64" t="n">
        <v>2013</v>
      </c>
      <c r="Q64">
        <f>IF(Financials[[#This Row],[ Units_Sold ]]&lt;&gt;INT(Financials[[#This Row],[ Units_Sold ]]),1,0)</f>
        <v/>
      </c>
      <c r="R64" s="10">
        <f>Financials[[#This Row],[ Profit ]]/Financials[[#This Row],[  Sales ]]</f>
        <v/>
      </c>
      <c r="S64" s="2">
        <f>Financials[[#This Row],[ COGS ]]/Financials[[#This Row],[  Sales ]]</f>
        <v/>
      </c>
      <c r="T64" s="3">
        <f>Financials[[#This Row],[ Discounts ]]/Financials[[#This Row],[  Sales ]]</f>
        <v/>
      </c>
      <c r="U64">
        <f>Financials[[#This Row],[  Sales ]]/Financials[[#This Row],[ Units_Sold ]]</f>
        <v/>
      </c>
      <c r="V64">
        <f>Financials[[#This Row],[ Profit ]]/Financials[[#This Row],[ Units_Sold ]]</f>
        <v/>
      </c>
      <c r="W64">
        <f>IF(Financials[[#This Row],[ Profit ]]&lt;0,1,0)</f>
        <v/>
      </c>
    </row>
    <row r="65">
      <c r="A65" t="inlineStr">
        <is>
          <t>Channel Partners</t>
        </is>
      </c>
      <c r="B65" t="inlineStr">
        <is>
          <t>France</t>
        </is>
      </c>
      <c r="C65" t="inlineStr">
        <is>
          <t xml:space="preserve"> Carretera </t>
        </is>
      </c>
      <c r="D65" t="inlineStr">
        <is>
          <t xml:space="preserve"> Low </t>
        </is>
      </c>
      <c r="E65" t="n">
        <v>2671</v>
      </c>
      <c r="F65" s="69" t="n">
        <v>3</v>
      </c>
      <c r="G65" s="69" t="n">
        <v>12</v>
      </c>
      <c r="H65" s="69" t="n">
        <v>32052</v>
      </c>
      <c r="I65" s="5" t="n">
        <v>320.52</v>
      </c>
      <c r="J65" s="69" t="n">
        <v>31731.48</v>
      </c>
      <c r="K65" s="69" t="n">
        <v>8013</v>
      </c>
      <c r="L65" s="69" t="n">
        <v>23718.48</v>
      </c>
      <c r="M65" s="1" t="n">
        <v>41648</v>
      </c>
      <c r="N65" t="n">
        <v>9</v>
      </c>
      <c r="O65" t="inlineStr">
        <is>
          <t xml:space="preserve"> September </t>
        </is>
      </c>
      <c r="P65" t="n">
        <v>2014</v>
      </c>
      <c r="Q65">
        <f>IF(Financials[[#This Row],[ Units_Sold ]]&lt;&gt;INT(Financials[[#This Row],[ Units_Sold ]]),1,0)</f>
        <v/>
      </c>
      <c r="R65" s="10">
        <f>Financials[[#This Row],[ Profit ]]/Financials[[#This Row],[  Sales ]]</f>
        <v/>
      </c>
      <c r="S65" s="2">
        <f>Financials[[#This Row],[ COGS ]]/Financials[[#This Row],[  Sales ]]</f>
        <v/>
      </c>
      <c r="T65" s="3">
        <f>Financials[[#This Row],[ Discounts ]]/Financials[[#This Row],[  Sales ]]</f>
        <v/>
      </c>
      <c r="U65">
        <f>Financials[[#This Row],[  Sales ]]/Financials[[#This Row],[ Units_Sold ]]</f>
        <v/>
      </c>
      <c r="V65">
        <f>Financials[[#This Row],[ Profit ]]/Financials[[#This Row],[ Units_Sold ]]</f>
        <v/>
      </c>
      <c r="W65">
        <f>IF(Financials[[#This Row],[ Profit ]]&lt;0,1,0)</f>
        <v/>
      </c>
    </row>
    <row r="66">
      <c r="A66" t="inlineStr">
        <is>
          <t>Channel Partners</t>
        </is>
      </c>
      <c r="B66" t="inlineStr">
        <is>
          <t>Germany</t>
        </is>
      </c>
      <c r="C66" t="inlineStr">
        <is>
          <t xml:space="preserve"> Carretera </t>
        </is>
      </c>
      <c r="D66" t="inlineStr">
        <is>
          <t xml:space="preserve"> Low </t>
        </is>
      </c>
      <c r="E66" t="n">
        <v>766</v>
      </c>
      <c r="F66" s="69" t="n">
        <v>3</v>
      </c>
      <c r="G66" s="69" t="n">
        <v>12</v>
      </c>
      <c r="H66" s="69" t="n">
        <v>9192</v>
      </c>
      <c r="I66" s="5" t="n">
        <v>91.92</v>
      </c>
      <c r="J66" s="69" t="n">
        <v>9100.08</v>
      </c>
      <c r="K66" s="69" t="n">
        <v>2298</v>
      </c>
      <c r="L66" s="69" t="n">
        <v>6802.08</v>
      </c>
      <c r="M66" s="1" t="n">
        <v>41284</v>
      </c>
      <c r="N66" t="n">
        <v>10</v>
      </c>
      <c r="O66" t="inlineStr">
        <is>
          <t xml:space="preserve"> October </t>
        </is>
      </c>
      <c r="P66" t="n">
        <v>2013</v>
      </c>
      <c r="Q66">
        <f>IF(Financials[[#This Row],[ Units_Sold ]]&lt;&gt;INT(Financials[[#This Row],[ Units_Sold ]]),1,0)</f>
        <v/>
      </c>
      <c r="R66" s="10">
        <f>Financials[[#This Row],[ Profit ]]/Financials[[#This Row],[  Sales ]]</f>
        <v/>
      </c>
      <c r="S66" s="2">
        <f>Financials[[#This Row],[ COGS ]]/Financials[[#This Row],[  Sales ]]</f>
        <v/>
      </c>
      <c r="T66" s="3">
        <f>Financials[[#This Row],[ Discounts ]]/Financials[[#This Row],[  Sales ]]</f>
        <v/>
      </c>
      <c r="U66">
        <f>Financials[[#This Row],[  Sales ]]/Financials[[#This Row],[ Units_Sold ]]</f>
        <v/>
      </c>
      <c r="V66">
        <f>Financials[[#This Row],[ Profit ]]/Financials[[#This Row],[ Units_Sold ]]</f>
        <v/>
      </c>
      <c r="W66">
        <f>IF(Financials[[#This Row],[ Profit ]]&lt;0,1,0)</f>
        <v/>
      </c>
    </row>
    <row r="67">
      <c r="A67" t="inlineStr">
        <is>
          <t>Small Business</t>
        </is>
      </c>
      <c r="B67" t="inlineStr">
        <is>
          <t>Mexico</t>
        </is>
      </c>
      <c r="C67" t="inlineStr">
        <is>
          <t xml:space="preserve"> Carretera </t>
        </is>
      </c>
      <c r="D67" t="inlineStr">
        <is>
          <t xml:space="preserve"> Low </t>
        </is>
      </c>
      <c r="E67" t="n">
        <v>494</v>
      </c>
      <c r="F67" s="69" t="n">
        <v>3</v>
      </c>
      <c r="G67" s="69" t="n">
        <v>300</v>
      </c>
      <c r="H67" s="69" t="n">
        <v>148200</v>
      </c>
      <c r="I67" s="5" t="n">
        <v>1482</v>
      </c>
      <c r="J67" s="69" t="n">
        <v>146718</v>
      </c>
      <c r="K67" s="69" t="n">
        <v>123500</v>
      </c>
      <c r="L67" s="69" t="n">
        <v>23218</v>
      </c>
      <c r="M67" s="1" t="n">
        <v>41284</v>
      </c>
      <c r="N67" t="n">
        <v>10</v>
      </c>
      <c r="O67" t="inlineStr">
        <is>
          <t xml:space="preserve"> October </t>
        </is>
      </c>
      <c r="P67" t="n">
        <v>2013</v>
      </c>
      <c r="Q67">
        <f>IF(Financials[[#This Row],[ Units_Sold ]]&lt;&gt;INT(Financials[[#This Row],[ Units_Sold ]]),1,0)</f>
        <v/>
      </c>
      <c r="R67" s="10">
        <f>Financials[[#This Row],[ Profit ]]/Financials[[#This Row],[  Sales ]]</f>
        <v/>
      </c>
      <c r="S67" s="2">
        <f>Financials[[#This Row],[ COGS ]]/Financials[[#This Row],[  Sales ]]</f>
        <v/>
      </c>
      <c r="T67" s="3">
        <f>Financials[[#This Row],[ Discounts ]]/Financials[[#This Row],[  Sales ]]</f>
        <v/>
      </c>
      <c r="U67">
        <f>Financials[[#This Row],[  Sales ]]/Financials[[#This Row],[ Units_Sold ]]</f>
        <v/>
      </c>
      <c r="V67">
        <f>Financials[[#This Row],[ Profit ]]/Financials[[#This Row],[ Units_Sold ]]</f>
        <v/>
      </c>
      <c r="W67">
        <f>IF(Financials[[#This Row],[ Profit ]]&lt;0,1,0)</f>
        <v/>
      </c>
    </row>
    <row r="68">
      <c r="A68" t="inlineStr">
        <is>
          <t>Government</t>
        </is>
      </c>
      <c r="B68" t="inlineStr">
        <is>
          <t>Mexico</t>
        </is>
      </c>
      <c r="C68" t="inlineStr">
        <is>
          <t xml:space="preserve"> Carretera </t>
        </is>
      </c>
      <c r="D68" t="inlineStr">
        <is>
          <t xml:space="preserve"> Low </t>
        </is>
      </c>
      <c r="E68" t="n">
        <v>1397</v>
      </c>
      <c r="F68" s="69" t="n">
        <v>3</v>
      </c>
      <c r="G68" s="69" t="n">
        <v>350</v>
      </c>
      <c r="H68" s="69" t="n">
        <v>488950</v>
      </c>
      <c r="I68" s="5" t="n">
        <v>4889.5</v>
      </c>
      <c r="J68" s="69" t="n">
        <v>484060.5</v>
      </c>
      <c r="K68" s="69" t="n">
        <v>363220</v>
      </c>
      <c r="L68" s="69" t="n">
        <v>120840.5</v>
      </c>
      <c r="M68" s="1" t="n">
        <v>41649</v>
      </c>
      <c r="N68" t="n">
        <v>10</v>
      </c>
      <c r="O68" t="inlineStr">
        <is>
          <t xml:space="preserve"> October </t>
        </is>
      </c>
      <c r="P68" t="n">
        <v>2014</v>
      </c>
      <c r="Q68">
        <f>IF(Financials[[#This Row],[ Units_Sold ]]&lt;&gt;INT(Financials[[#This Row],[ Units_Sold ]]),1,0)</f>
        <v/>
      </c>
      <c r="R68" s="10">
        <f>Financials[[#This Row],[ Profit ]]/Financials[[#This Row],[  Sales ]]</f>
        <v/>
      </c>
      <c r="S68" s="2">
        <f>Financials[[#This Row],[ COGS ]]/Financials[[#This Row],[  Sales ]]</f>
        <v/>
      </c>
      <c r="T68" s="3">
        <f>Financials[[#This Row],[ Discounts ]]/Financials[[#This Row],[  Sales ]]</f>
        <v/>
      </c>
      <c r="U68">
        <f>Financials[[#This Row],[  Sales ]]/Financials[[#This Row],[ Units_Sold ]]</f>
        <v/>
      </c>
      <c r="V68">
        <f>Financials[[#This Row],[ Profit ]]/Financials[[#This Row],[ Units_Sold ]]</f>
        <v/>
      </c>
      <c r="W68">
        <f>IF(Financials[[#This Row],[ Profit ]]&lt;0,1,0)</f>
        <v/>
      </c>
    </row>
    <row r="69">
      <c r="A69" t="inlineStr">
        <is>
          <t>Government</t>
        </is>
      </c>
      <c r="B69" t="inlineStr">
        <is>
          <t>France</t>
        </is>
      </c>
      <c r="C69" t="inlineStr">
        <is>
          <t xml:space="preserve"> Carretera </t>
        </is>
      </c>
      <c r="D69" t="inlineStr">
        <is>
          <t xml:space="preserve"> Low </t>
        </is>
      </c>
      <c r="E69" t="n">
        <v>2155</v>
      </c>
      <c r="F69" s="69" t="n">
        <v>3</v>
      </c>
      <c r="G69" s="69" t="n">
        <v>350</v>
      </c>
      <c r="H69" s="69" t="n">
        <v>754250</v>
      </c>
      <c r="I69" s="5" t="n">
        <v>7542.5</v>
      </c>
      <c r="J69" s="69" t="n">
        <v>746707.5</v>
      </c>
      <c r="K69" s="69" t="n">
        <v>560300</v>
      </c>
      <c r="L69" s="69" t="n">
        <v>186407.5</v>
      </c>
      <c r="M69" s="1" t="n">
        <v>41651</v>
      </c>
      <c r="N69" t="n">
        <v>12</v>
      </c>
      <c r="O69" t="inlineStr">
        <is>
          <t xml:space="preserve"> December </t>
        </is>
      </c>
      <c r="P69" t="n">
        <v>2014</v>
      </c>
      <c r="Q69">
        <f>IF(Financials[[#This Row],[ Units_Sold ]]&lt;&gt;INT(Financials[[#This Row],[ Units_Sold ]]),1,0)</f>
        <v/>
      </c>
      <c r="R69" s="10">
        <f>Financials[[#This Row],[ Profit ]]/Financials[[#This Row],[  Sales ]]</f>
        <v/>
      </c>
      <c r="S69" s="2">
        <f>Financials[[#This Row],[ COGS ]]/Financials[[#This Row],[  Sales ]]</f>
        <v/>
      </c>
      <c r="T69" s="3">
        <f>Financials[[#This Row],[ Discounts ]]/Financials[[#This Row],[  Sales ]]</f>
        <v/>
      </c>
      <c r="U69">
        <f>Financials[[#This Row],[  Sales ]]/Financials[[#This Row],[ Units_Sold ]]</f>
        <v/>
      </c>
      <c r="V69">
        <f>Financials[[#This Row],[ Profit ]]/Financials[[#This Row],[ Units_Sold ]]</f>
        <v/>
      </c>
      <c r="W69">
        <f>IF(Financials[[#This Row],[ Profit ]]&lt;0,1,0)</f>
        <v/>
      </c>
    </row>
    <row r="70">
      <c r="A70" t="inlineStr">
        <is>
          <t>Midmarket</t>
        </is>
      </c>
      <c r="B70" t="inlineStr">
        <is>
          <t>Mexico</t>
        </is>
      </c>
      <c r="C70" t="inlineStr">
        <is>
          <t xml:space="preserve"> Montana </t>
        </is>
      </c>
      <c r="D70" t="inlineStr">
        <is>
          <t xml:space="preserve"> Low </t>
        </is>
      </c>
      <c r="E70" t="n">
        <v>2214</v>
      </c>
      <c r="F70" s="69" t="n">
        <v>5</v>
      </c>
      <c r="G70" s="69" t="n">
        <v>15</v>
      </c>
      <c r="H70" s="69" t="n">
        <v>33210</v>
      </c>
      <c r="I70" s="5" t="n">
        <v>332.1</v>
      </c>
      <c r="J70" s="69" t="n">
        <v>32877.9</v>
      </c>
      <c r="K70" s="69" t="n">
        <v>22140</v>
      </c>
      <c r="L70" s="69" t="n">
        <v>10737.9</v>
      </c>
      <c r="M70" s="1" t="n">
        <v>41642</v>
      </c>
      <c r="N70" t="n">
        <v>3</v>
      </c>
      <c r="O70" t="inlineStr">
        <is>
          <t xml:space="preserve"> March </t>
        </is>
      </c>
      <c r="P70" t="n">
        <v>2014</v>
      </c>
      <c r="Q70">
        <f>IF(Financials[[#This Row],[ Units_Sold ]]&lt;&gt;INT(Financials[[#This Row],[ Units_Sold ]]),1,0)</f>
        <v/>
      </c>
      <c r="R70" s="10">
        <f>Financials[[#This Row],[ Profit ]]/Financials[[#This Row],[  Sales ]]</f>
        <v/>
      </c>
      <c r="S70" s="2">
        <f>Financials[[#This Row],[ COGS ]]/Financials[[#This Row],[  Sales ]]</f>
        <v/>
      </c>
      <c r="T70" s="3">
        <f>Financials[[#This Row],[ Discounts ]]/Financials[[#This Row],[  Sales ]]</f>
        <v/>
      </c>
      <c r="U70">
        <f>Financials[[#This Row],[  Sales ]]/Financials[[#This Row],[ Units_Sold ]]</f>
        <v/>
      </c>
      <c r="V70">
        <f>Financials[[#This Row],[ Profit ]]/Financials[[#This Row],[ Units_Sold ]]</f>
        <v/>
      </c>
      <c r="W70">
        <f>IF(Financials[[#This Row],[ Profit ]]&lt;0,1,0)</f>
        <v/>
      </c>
    </row>
    <row r="71">
      <c r="A71" t="inlineStr">
        <is>
          <t>Small Business</t>
        </is>
      </c>
      <c r="B71" t="inlineStr">
        <is>
          <t>United States of America</t>
        </is>
      </c>
      <c r="C71" t="inlineStr">
        <is>
          <t xml:space="preserve"> Montana </t>
        </is>
      </c>
      <c r="D71" t="inlineStr">
        <is>
          <t xml:space="preserve"> Low </t>
        </is>
      </c>
      <c r="E71" t="n">
        <v>2301</v>
      </c>
      <c r="F71" s="69" t="n">
        <v>5</v>
      </c>
      <c r="G71" s="69" t="n">
        <v>300</v>
      </c>
      <c r="H71" s="69" t="n">
        <v>690300</v>
      </c>
      <c r="I71" s="5" t="n">
        <v>6903</v>
      </c>
      <c r="J71" s="69" t="n">
        <v>683397</v>
      </c>
      <c r="K71" s="69" t="n">
        <v>575250</v>
      </c>
      <c r="L71" s="69" t="n">
        <v>108147</v>
      </c>
      <c r="M71" s="1" t="n">
        <v>41643</v>
      </c>
      <c r="N71" t="n">
        <v>4</v>
      </c>
      <c r="O71" t="inlineStr">
        <is>
          <t xml:space="preserve"> April </t>
        </is>
      </c>
      <c r="P71" t="n">
        <v>2014</v>
      </c>
      <c r="Q71">
        <f>IF(Financials[[#This Row],[ Units_Sold ]]&lt;&gt;INT(Financials[[#This Row],[ Units_Sold ]]),1,0)</f>
        <v/>
      </c>
      <c r="R71" s="10">
        <f>Financials[[#This Row],[ Profit ]]/Financials[[#This Row],[  Sales ]]</f>
        <v/>
      </c>
      <c r="S71" s="2">
        <f>Financials[[#This Row],[ COGS ]]/Financials[[#This Row],[  Sales ]]</f>
        <v/>
      </c>
      <c r="T71" s="3">
        <f>Financials[[#This Row],[ Discounts ]]/Financials[[#This Row],[  Sales ]]</f>
        <v/>
      </c>
      <c r="U71">
        <f>Financials[[#This Row],[  Sales ]]/Financials[[#This Row],[ Units_Sold ]]</f>
        <v/>
      </c>
      <c r="V71">
        <f>Financials[[#This Row],[ Profit ]]/Financials[[#This Row],[ Units_Sold ]]</f>
        <v/>
      </c>
      <c r="W71">
        <f>IF(Financials[[#This Row],[ Profit ]]&lt;0,1,0)</f>
        <v/>
      </c>
    </row>
    <row r="72">
      <c r="A72" t="inlineStr">
        <is>
          <t>Government</t>
        </is>
      </c>
      <c r="B72" t="inlineStr">
        <is>
          <t>France</t>
        </is>
      </c>
      <c r="C72" t="inlineStr">
        <is>
          <t xml:space="preserve"> Montana </t>
        </is>
      </c>
      <c r="D72" t="inlineStr">
        <is>
          <t xml:space="preserve"> Low </t>
        </is>
      </c>
      <c r="E72" t="n">
        <v>1375.5</v>
      </c>
      <c r="F72" s="69" t="n">
        <v>5</v>
      </c>
      <c r="G72" s="69" t="n">
        <v>20</v>
      </c>
      <c r="H72" s="69" t="n">
        <v>27510</v>
      </c>
      <c r="I72" s="5" t="n">
        <v>275.1</v>
      </c>
      <c r="J72" s="69" t="n">
        <v>27234.9</v>
      </c>
      <c r="K72" s="69" t="n">
        <v>13755</v>
      </c>
      <c r="L72" s="69" t="n">
        <v>13479.9</v>
      </c>
      <c r="M72" s="1" t="n">
        <v>41646</v>
      </c>
      <c r="N72" t="n">
        <v>7</v>
      </c>
      <c r="O72" t="inlineStr">
        <is>
          <t xml:space="preserve"> July </t>
        </is>
      </c>
      <c r="P72" t="n">
        <v>2014</v>
      </c>
      <c r="Q72">
        <f>IF(Financials[[#This Row],[ Units_Sold ]]&lt;&gt;INT(Financials[[#This Row],[ Units_Sold ]]),1,0)</f>
        <v/>
      </c>
      <c r="R72" s="10">
        <f>Financials[[#This Row],[ Profit ]]/Financials[[#This Row],[  Sales ]]</f>
        <v/>
      </c>
      <c r="S72" s="2">
        <f>Financials[[#This Row],[ COGS ]]/Financials[[#This Row],[  Sales ]]</f>
        <v/>
      </c>
      <c r="T72" s="3">
        <f>Financials[[#This Row],[ Discounts ]]/Financials[[#This Row],[  Sales ]]</f>
        <v/>
      </c>
      <c r="U72">
        <f>Financials[[#This Row],[  Sales ]]/Financials[[#This Row],[ Units_Sold ]]</f>
        <v/>
      </c>
      <c r="V72">
        <f>Financials[[#This Row],[ Profit ]]/Financials[[#This Row],[ Units_Sold ]]</f>
        <v/>
      </c>
      <c r="W72">
        <f>IF(Financials[[#This Row],[ Profit ]]&lt;0,1,0)</f>
        <v/>
      </c>
    </row>
    <row r="73">
      <c r="A73" t="inlineStr">
        <is>
          <t>Government</t>
        </is>
      </c>
      <c r="B73" t="inlineStr">
        <is>
          <t>Canada</t>
        </is>
      </c>
      <c r="C73" t="inlineStr">
        <is>
          <t xml:space="preserve"> Montana </t>
        </is>
      </c>
      <c r="D73" t="inlineStr">
        <is>
          <t xml:space="preserve"> Low </t>
        </is>
      </c>
      <c r="E73" t="n">
        <v>1830</v>
      </c>
      <c r="F73" s="69" t="n">
        <v>5</v>
      </c>
      <c r="G73" s="69" t="n">
        <v>7</v>
      </c>
      <c r="H73" s="69" t="n">
        <v>12810</v>
      </c>
      <c r="I73" s="5" t="n">
        <v>128.1</v>
      </c>
      <c r="J73" s="69" t="n">
        <v>12681.9</v>
      </c>
      <c r="K73" s="69" t="n">
        <v>9150</v>
      </c>
      <c r="L73" s="69" t="n">
        <v>3531.9</v>
      </c>
      <c r="M73" s="1" t="n">
        <v>41647</v>
      </c>
      <c r="N73" t="n">
        <v>8</v>
      </c>
      <c r="O73" t="inlineStr">
        <is>
          <t xml:space="preserve"> August </t>
        </is>
      </c>
      <c r="P73" t="n">
        <v>2014</v>
      </c>
      <c r="Q73">
        <f>IF(Financials[[#This Row],[ Units_Sold ]]&lt;&gt;INT(Financials[[#This Row],[ Units_Sold ]]),1,0)</f>
        <v/>
      </c>
      <c r="R73" s="10">
        <f>Financials[[#This Row],[ Profit ]]/Financials[[#This Row],[  Sales ]]</f>
        <v/>
      </c>
      <c r="S73" s="2">
        <f>Financials[[#This Row],[ COGS ]]/Financials[[#This Row],[  Sales ]]</f>
        <v/>
      </c>
      <c r="T73" s="3">
        <f>Financials[[#This Row],[ Discounts ]]/Financials[[#This Row],[  Sales ]]</f>
        <v/>
      </c>
      <c r="U73">
        <f>Financials[[#This Row],[  Sales ]]/Financials[[#This Row],[ Units_Sold ]]</f>
        <v/>
      </c>
      <c r="V73">
        <f>Financials[[#This Row],[ Profit ]]/Financials[[#This Row],[ Units_Sold ]]</f>
        <v/>
      </c>
      <c r="W73">
        <f>IF(Financials[[#This Row],[ Profit ]]&lt;0,1,0)</f>
        <v/>
      </c>
    </row>
    <row r="74">
      <c r="A74" t="inlineStr">
        <is>
          <t>Small Business</t>
        </is>
      </c>
      <c r="B74" t="inlineStr">
        <is>
          <t>United States of America</t>
        </is>
      </c>
      <c r="C74" t="inlineStr">
        <is>
          <t xml:space="preserve"> Montana </t>
        </is>
      </c>
      <c r="D74" t="inlineStr">
        <is>
          <t xml:space="preserve"> Low </t>
        </is>
      </c>
      <c r="E74" t="n">
        <v>2498</v>
      </c>
      <c r="F74" s="69" t="n">
        <v>5</v>
      </c>
      <c r="G74" s="69" t="n">
        <v>300</v>
      </c>
      <c r="H74" s="69" t="n">
        <v>749400</v>
      </c>
      <c r="I74" s="5" t="n">
        <v>7494</v>
      </c>
      <c r="J74" s="69" t="n">
        <v>741906</v>
      </c>
      <c r="K74" s="69" t="n">
        <v>624500</v>
      </c>
      <c r="L74" s="69" t="n">
        <v>117406</v>
      </c>
      <c r="M74" s="1" t="n">
        <v>41283</v>
      </c>
      <c r="N74" t="n">
        <v>9</v>
      </c>
      <c r="O74" t="inlineStr">
        <is>
          <t xml:space="preserve"> September </t>
        </is>
      </c>
      <c r="P74" t="n">
        <v>2013</v>
      </c>
      <c r="Q74">
        <f>IF(Financials[[#This Row],[ Units_Sold ]]&lt;&gt;INT(Financials[[#This Row],[ Units_Sold ]]),1,0)</f>
        <v/>
      </c>
      <c r="R74" s="10">
        <f>Financials[[#This Row],[ Profit ]]/Financials[[#This Row],[  Sales ]]</f>
        <v/>
      </c>
      <c r="S74" s="2">
        <f>Financials[[#This Row],[ COGS ]]/Financials[[#This Row],[  Sales ]]</f>
        <v/>
      </c>
      <c r="T74" s="3">
        <f>Financials[[#This Row],[ Discounts ]]/Financials[[#This Row],[  Sales ]]</f>
        <v/>
      </c>
      <c r="U74">
        <f>Financials[[#This Row],[  Sales ]]/Financials[[#This Row],[ Units_Sold ]]</f>
        <v/>
      </c>
      <c r="V74">
        <f>Financials[[#This Row],[ Profit ]]/Financials[[#This Row],[ Units_Sold ]]</f>
        <v/>
      </c>
      <c r="W74">
        <f>IF(Financials[[#This Row],[ Profit ]]&lt;0,1,0)</f>
        <v/>
      </c>
    </row>
    <row r="75">
      <c r="A75" t="inlineStr">
        <is>
          <t>Enterprise</t>
        </is>
      </c>
      <c r="B75" t="inlineStr">
        <is>
          <t>United States of America</t>
        </is>
      </c>
      <c r="C75" t="inlineStr">
        <is>
          <t xml:space="preserve"> Montana </t>
        </is>
      </c>
      <c r="D75" t="inlineStr">
        <is>
          <t xml:space="preserve"> Low </t>
        </is>
      </c>
      <c r="E75" t="n">
        <v>663</v>
      </c>
      <c r="F75" s="69" t="n">
        <v>5</v>
      </c>
      <c r="G75" s="69" t="n">
        <v>125</v>
      </c>
      <c r="H75" s="69" t="n">
        <v>82875</v>
      </c>
      <c r="I75" s="5" t="n">
        <v>828.75</v>
      </c>
      <c r="J75" s="69" t="n">
        <v>82046.25</v>
      </c>
      <c r="K75" s="69" t="n">
        <v>79560</v>
      </c>
      <c r="L75" s="69" t="n">
        <v>2486.25</v>
      </c>
      <c r="M75" s="1" t="n">
        <v>41284</v>
      </c>
      <c r="N75" t="n">
        <v>10</v>
      </c>
      <c r="O75" t="inlineStr">
        <is>
          <t xml:space="preserve"> October </t>
        </is>
      </c>
      <c r="P75" t="n">
        <v>2013</v>
      </c>
      <c r="Q75">
        <f>IF(Financials[[#This Row],[ Units_Sold ]]&lt;&gt;INT(Financials[[#This Row],[ Units_Sold ]]),1,0)</f>
        <v/>
      </c>
      <c r="R75" s="10">
        <f>Financials[[#This Row],[ Profit ]]/Financials[[#This Row],[  Sales ]]</f>
        <v/>
      </c>
      <c r="S75" s="2">
        <f>Financials[[#This Row],[ COGS ]]/Financials[[#This Row],[  Sales ]]</f>
        <v/>
      </c>
      <c r="T75" s="3">
        <f>Financials[[#This Row],[ Discounts ]]/Financials[[#This Row],[  Sales ]]</f>
        <v/>
      </c>
      <c r="U75">
        <f>Financials[[#This Row],[  Sales ]]/Financials[[#This Row],[ Units_Sold ]]</f>
        <v/>
      </c>
      <c r="V75">
        <f>Financials[[#This Row],[ Profit ]]/Financials[[#This Row],[ Units_Sold ]]</f>
        <v/>
      </c>
      <c r="W75">
        <f>IF(Financials[[#This Row],[ Profit ]]&lt;0,1,0)</f>
        <v/>
      </c>
    </row>
    <row r="76">
      <c r="A76" t="inlineStr">
        <is>
          <t>Midmarket</t>
        </is>
      </c>
      <c r="B76" t="inlineStr">
        <is>
          <t>United States of America</t>
        </is>
      </c>
      <c r="C76" t="inlineStr">
        <is>
          <t xml:space="preserve"> Paseo </t>
        </is>
      </c>
      <c r="D76" t="inlineStr">
        <is>
          <t xml:space="preserve"> Low </t>
        </is>
      </c>
      <c r="E76" t="n">
        <v>1514</v>
      </c>
      <c r="F76" s="69" t="n">
        <v>10</v>
      </c>
      <c r="G76" s="69" t="n">
        <v>15</v>
      </c>
      <c r="H76" s="69" t="n">
        <v>22710</v>
      </c>
      <c r="I76" s="5" t="n">
        <v>227.1</v>
      </c>
      <c r="J76" s="69" t="n">
        <v>22482.9</v>
      </c>
      <c r="K76" s="69" t="n">
        <v>15140</v>
      </c>
      <c r="L76" s="69" t="n">
        <v>7342.9</v>
      </c>
      <c r="M76" s="1" t="n">
        <v>41641</v>
      </c>
      <c r="N76" t="n">
        <v>2</v>
      </c>
      <c r="O76" t="inlineStr">
        <is>
          <t xml:space="preserve"> February </t>
        </is>
      </c>
      <c r="P76" t="n">
        <v>2014</v>
      </c>
      <c r="Q76">
        <f>IF(Financials[[#This Row],[ Units_Sold ]]&lt;&gt;INT(Financials[[#This Row],[ Units_Sold ]]),1,0)</f>
        <v/>
      </c>
      <c r="R76" s="10">
        <f>Financials[[#This Row],[ Profit ]]/Financials[[#This Row],[  Sales ]]</f>
        <v/>
      </c>
      <c r="S76" s="2">
        <f>Financials[[#This Row],[ COGS ]]/Financials[[#This Row],[  Sales ]]</f>
        <v/>
      </c>
      <c r="T76" s="3">
        <f>Financials[[#This Row],[ Discounts ]]/Financials[[#This Row],[  Sales ]]</f>
        <v/>
      </c>
      <c r="U76">
        <f>Financials[[#This Row],[  Sales ]]/Financials[[#This Row],[ Units_Sold ]]</f>
        <v/>
      </c>
      <c r="V76">
        <f>Financials[[#This Row],[ Profit ]]/Financials[[#This Row],[ Units_Sold ]]</f>
        <v/>
      </c>
      <c r="W76">
        <f>IF(Financials[[#This Row],[ Profit ]]&lt;0,1,0)</f>
        <v/>
      </c>
    </row>
    <row r="77">
      <c r="A77" t="inlineStr">
        <is>
          <t>Government</t>
        </is>
      </c>
      <c r="B77" t="inlineStr">
        <is>
          <t>United States of America</t>
        </is>
      </c>
      <c r="C77" t="inlineStr">
        <is>
          <t xml:space="preserve"> Paseo </t>
        </is>
      </c>
      <c r="D77" t="inlineStr">
        <is>
          <t xml:space="preserve"> Low </t>
        </is>
      </c>
      <c r="E77" t="n">
        <v>4492.5</v>
      </c>
      <c r="F77" s="69" t="n">
        <v>10</v>
      </c>
      <c r="G77" s="69" t="n">
        <v>7</v>
      </c>
      <c r="H77" s="69" t="n">
        <v>31447.5</v>
      </c>
      <c r="I77" s="5" t="n">
        <v>314.48</v>
      </c>
      <c r="J77" s="69" t="n">
        <v>31133.03</v>
      </c>
      <c r="K77" s="69" t="n">
        <v>22462.5</v>
      </c>
      <c r="L77" s="69" t="n">
        <v>8670.530000000001</v>
      </c>
      <c r="M77" s="1" t="n">
        <v>41643</v>
      </c>
      <c r="N77" t="n">
        <v>4</v>
      </c>
      <c r="O77" t="inlineStr">
        <is>
          <t xml:space="preserve"> April </t>
        </is>
      </c>
      <c r="P77" t="n">
        <v>2014</v>
      </c>
      <c r="Q77">
        <f>IF(Financials[[#This Row],[ Units_Sold ]]&lt;&gt;INT(Financials[[#This Row],[ Units_Sold ]]),1,0)</f>
        <v/>
      </c>
      <c r="R77" s="10">
        <f>Financials[[#This Row],[ Profit ]]/Financials[[#This Row],[  Sales ]]</f>
        <v/>
      </c>
      <c r="S77" s="2">
        <f>Financials[[#This Row],[ COGS ]]/Financials[[#This Row],[  Sales ]]</f>
        <v/>
      </c>
      <c r="T77" s="3">
        <f>Financials[[#This Row],[ Discounts ]]/Financials[[#This Row],[  Sales ]]</f>
        <v/>
      </c>
      <c r="U77">
        <f>Financials[[#This Row],[  Sales ]]/Financials[[#This Row],[ Units_Sold ]]</f>
        <v/>
      </c>
      <c r="V77">
        <f>Financials[[#This Row],[ Profit ]]/Financials[[#This Row],[ Units_Sold ]]</f>
        <v/>
      </c>
      <c r="W77">
        <f>IF(Financials[[#This Row],[ Profit ]]&lt;0,1,0)</f>
        <v/>
      </c>
    </row>
    <row r="78">
      <c r="A78" t="inlineStr">
        <is>
          <t>Enterprise</t>
        </is>
      </c>
      <c r="B78" t="inlineStr">
        <is>
          <t>United States of America</t>
        </is>
      </c>
      <c r="C78" t="inlineStr">
        <is>
          <t xml:space="preserve"> Paseo </t>
        </is>
      </c>
      <c r="D78" t="inlineStr">
        <is>
          <t xml:space="preserve"> Low </t>
        </is>
      </c>
      <c r="E78" t="n">
        <v>727</v>
      </c>
      <c r="F78" s="69" t="n">
        <v>10</v>
      </c>
      <c r="G78" s="69" t="n">
        <v>125</v>
      </c>
      <c r="H78" s="69" t="n">
        <v>90875</v>
      </c>
      <c r="I78" s="5" t="n">
        <v>908.75</v>
      </c>
      <c r="J78" s="69" t="n">
        <v>89966.25</v>
      </c>
      <c r="K78" s="69" t="n">
        <v>87240</v>
      </c>
      <c r="L78" s="69" t="n">
        <v>2726.25</v>
      </c>
      <c r="M78" s="1" t="n">
        <v>41645</v>
      </c>
      <c r="N78" t="n">
        <v>6</v>
      </c>
      <c r="O78" t="inlineStr">
        <is>
          <t xml:space="preserve"> June </t>
        </is>
      </c>
      <c r="P78" t="n">
        <v>2014</v>
      </c>
      <c r="Q78">
        <f>IF(Financials[[#This Row],[ Units_Sold ]]&lt;&gt;INT(Financials[[#This Row],[ Units_Sold ]]),1,0)</f>
        <v/>
      </c>
      <c r="R78" s="10">
        <f>Financials[[#This Row],[ Profit ]]/Financials[[#This Row],[  Sales ]]</f>
        <v/>
      </c>
      <c r="S78" s="2">
        <f>Financials[[#This Row],[ COGS ]]/Financials[[#This Row],[  Sales ]]</f>
        <v/>
      </c>
      <c r="T78" s="3">
        <f>Financials[[#This Row],[ Discounts ]]/Financials[[#This Row],[  Sales ]]</f>
        <v/>
      </c>
      <c r="U78">
        <f>Financials[[#This Row],[  Sales ]]/Financials[[#This Row],[ Units_Sold ]]</f>
        <v/>
      </c>
      <c r="V78">
        <f>Financials[[#This Row],[ Profit ]]/Financials[[#This Row],[ Units_Sold ]]</f>
        <v/>
      </c>
      <c r="W78">
        <f>IF(Financials[[#This Row],[ Profit ]]&lt;0,1,0)</f>
        <v/>
      </c>
    </row>
    <row r="79">
      <c r="A79" t="inlineStr">
        <is>
          <t>Enterprise</t>
        </is>
      </c>
      <c r="B79" t="inlineStr">
        <is>
          <t>France</t>
        </is>
      </c>
      <c r="C79" t="inlineStr">
        <is>
          <t xml:space="preserve"> Paseo </t>
        </is>
      </c>
      <c r="D79" t="inlineStr">
        <is>
          <t xml:space="preserve"> Low </t>
        </is>
      </c>
      <c r="E79" t="n">
        <v>787</v>
      </c>
      <c r="F79" s="69" t="n">
        <v>10</v>
      </c>
      <c r="G79" s="69" t="n">
        <v>125</v>
      </c>
      <c r="H79" s="69" t="n">
        <v>98375</v>
      </c>
      <c r="I79" s="5" t="n">
        <v>983.75</v>
      </c>
      <c r="J79" s="69" t="n">
        <v>97391.25</v>
      </c>
      <c r="K79" s="69" t="n">
        <v>94440</v>
      </c>
      <c r="L79" s="69" t="n">
        <v>2951.25</v>
      </c>
      <c r="M79" s="1" t="n">
        <v>41645</v>
      </c>
      <c r="N79" t="n">
        <v>6</v>
      </c>
      <c r="O79" t="inlineStr">
        <is>
          <t xml:space="preserve"> June </t>
        </is>
      </c>
      <c r="P79" t="n">
        <v>2014</v>
      </c>
      <c r="Q79">
        <f>IF(Financials[[#This Row],[ Units_Sold ]]&lt;&gt;INT(Financials[[#This Row],[ Units_Sold ]]),1,0)</f>
        <v/>
      </c>
      <c r="R79" s="10">
        <f>Financials[[#This Row],[ Profit ]]/Financials[[#This Row],[  Sales ]]</f>
        <v/>
      </c>
      <c r="S79" s="2">
        <f>Financials[[#This Row],[ COGS ]]/Financials[[#This Row],[  Sales ]]</f>
        <v/>
      </c>
      <c r="T79" s="3">
        <f>Financials[[#This Row],[ Discounts ]]/Financials[[#This Row],[  Sales ]]</f>
        <v/>
      </c>
      <c r="U79">
        <f>Financials[[#This Row],[  Sales ]]/Financials[[#This Row],[ Units_Sold ]]</f>
        <v/>
      </c>
      <c r="V79">
        <f>Financials[[#This Row],[ Profit ]]/Financials[[#This Row],[ Units_Sold ]]</f>
        <v/>
      </c>
      <c r="W79">
        <f>IF(Financials[[#This Row],[ Profit ]]&lt;0,1,0)</f>
        <v/>
      </c>
    </row>
    <row r="80">
      <c r="A80" t="inlineStr">
        <is>
          <t>Enterprise</t>
        </is>
      </c>
      <c r="B80" t="inlineStr">
        <is>
          <t>Mexico</t>
        </is>
      </c>
      <c r="C80" t="inlineStr">
        <is>
          <t xml:space="preserve"> Paseo </t>
        </is>
      </c>
      <c r="D80" t="inlineStr">
        <is>
          <t xml:space="preserve"> Low </t>
        </is>
      </c>
      <c r="E80" t="n">
        <v>1823</v>
      </c>
      <c r="F80" s="69" t="n">
        <v>10</v>
      </c>
      <c r="G80" s="69" t="n">
        <v>125</v>
      </c>
      <c r="H80" s="69" t="n">
        <v>227875</v>
      </c>
      <c r="I80" s="5" t="n">
        <v>2278.75</v>
      </c>
      <c r="J80" s="69" t="n">
        <v>225596.25</v>
      </c>
      <c r="K80" s="69" t="n">
        <v>218760</v>
      </c>
      <c r="L80" s="69" t="n">
        <v>6836.25</v>
      </c>
      <c r="M80" s="1" t="n">
        <v>41646</v>
      </c>
      <c r="N80" t="n">
        <v>7</v>
      </c>
      <c r="O80" t="inlineStr">
        <is>
          <t xml:space="preserve"> July </t>
        </is>
      </c>
      <c r="P80" t="n">
        <v>2014</v>
      </c>
      <c r="Q80">
        <f>IF(Financials[[#This Row],[ Units_Sold ]]&lt;&gt;INT(Financials[[#This Row],[ Units_Sold ]]),1,0)</f>
        <v/>
      </c>
      <c r="R80" s="10">
        <f>Financials[[#This Row],[ Profit ]]/Financials[[#This Row],[  Sales ]]</f>
        <v/>
      </c>
      <c r="S80" s="2">
        <f>Financials[[#This Row],[ COGS ]]/Financials[[#This Row],[  Sales ]]</f>
        <v/>
      </c>
      <c r="T80" s="3">
        <f>Financials[[#This Row],[ Discounts ]]/Financials[[#This Row],[  Sales ]]</f>
        <v/>
      </c>
      <c r="U80">
        <f>Financials[[#This Row],[  Sales ]]/Financials[[#This Row],[ Units_Sold ]]</f>
        <v/>
      </c>
      <c r="V80">
        <f>Financials[[#This Row],[ Profit ]]/Financials[[#This Row],[ Units_Sold ]]</f>
        <v/>
      </c>
      <c r="W80">
        <f>IF(Financials[[#This Row],[ Profit ]]&lt;0,1,0)</f>
        <v/>
      </c>
    </row>
    <row r="81">
      <c r="A81" t="inlineStr">
        <is>
          <t>Midmarket</t>
        </is>
      </c>
      <c r="B81" t="inlineStr">
        <is>
          <t>Germany</t>
        </is>
      </c>
      <c r="C81" t="inlineStr">
        <is>
          <t xml:space="preserve"> Paseo </t>
        </is>
      </c>
      <c r="D81" t="inlineStr">
        <is>
          <t xml:space="preserve"> Low </t>
        </is>
      </c>
      <c r="E81" t="n">
        <v>747</v>
      </c>
      <c r="F81" s="69" t="n">
        <v>10</v>
      </c>
      <c r="G81" s="69" t="n">
        <v>15</v>
      </c>
      <c r="H81" s="69" t="n">
        <v>11205</v>
      </c>
      <c r="I81" s="5" t="n">
        <v>112.05</v>
      </c>
      <c r="J81" s="69" t="n">
        <v>11092.95</v>
      </c>
      <c r="K81" s="69" t="n">
        <v>7470</v>
      </c>
      <c r="L81" s="69" t="n">
        <v>3622.95</v>
      </c>
      <c r="M81" s="1" t="n">
        <v>41648</v>
      </c>
      <c r="N81" t="n">
        <v>9</v>
      </c>
      <c r="O81" t="inlineStr">
        <is>
          <t xml:space="preserve"> September </t>
        </is>
      </c>
      <c r="P81" t="n">
        <v>2014</v>
      </c>
      <c r="Q81">
        <f>IF(Financials[[#This Row],[ Units_Sold ]]&lt;&gt;INT(Financials[[#This Row],[ Units_Sold ]]),1,0)</f>
        <v/>
      </c>
      <c r="R81" s="10">
        <f>Financials[[#This Row],[ Profit ]]/Financials[[#This Row],[  Sales ]]</f>
        <v/>
      </c>
      <c r="S81" s="2">
        <f>Financials[[#This Row],[ COGS ]]/Financials[[#This Row],[  Sales ]]</f>
        <v/>
      </c>
      <c r="T81" s="3">
        <f>Financials[[#This Row],[ Discounts ]]/Financials[[#This Row],[  Sales ]]</f>
        <v/>
      </c>
      <c r="U81">
        <f>Financials[[#This Row],[  Sales ]]/Financials[[#This Row],[ Units_Sold ]]</f>
        <v/>
      </c>
      <c r="V81">
        <f>Financials[[#This Row],[ Profit ]]/Financials[[#This Row],[ Units_Sold ]]</f>
        <v/>
      </c>
      <c r="W81">
        <f>IF(Financials[[#This Row],[ Profit ]]&lt;0,1,0)</f>
        <v/>
      </c>
    </row>
    <row r="82">
      <c r="A82" t="inlineStr">
        <is>
          <t>Channel Partners</t>
        </is>
      </c>
      <c r="B82" t="inlineStr">
        <is>
          <t>Germany</t>
        </is>
      </c>
      <c r="C82" t="inlineStr">
        <is>
          <t xml:space="preserve"> Paseo </t>
        </is>
      </c>
      <c r="D82" t="inlineStr">
        <is>
          <t xml:space="preserve"> Low </t>
        </is>
      </c>
      <c r="E82" t="n">
        <v>766</v>
      </c>
      <c r="F82" s="69" t="n">
        <v>10</v>
      </c>
      <c r="G82" s="69" t="n">
        <v>12</v>
      </c>
      <c r="H82" s="69" t="n">
        <v>9192</v>
      </c>
      <c r="I82" s="5" t="n">
        <v>91.92</v>
      </c>
      <c r="J82" s="69" t="n">
        <v>9100.08</v>
      </c>
      <c r="K82" s="69" t="n">
        <v>2298</v>
      </c>
      <c r="L82" s="69" t="n">
        <v>6802.08</v>
      </c>
      <c r="M82" s="1" t="n">
        <v>41284</v>
      </c>
      <c r="N82" t="n">
        <v>10</v>
      </c>
      <c r="O82" t="inlineStr">
        <is>
          <t xml:space="preserve"> October </t>
        </is>
      </c>
      <c r="P82" t="n">
        <v>2013</v>
      </c>
      <c r="Q82">
        <f>IF(Financials[[#This Row],[ Units_Sold ]]&lt;&gt;INT(Financials[[#This Row],[ Units_Sold ]]),1,0)</f>
        <v/>
      </c>
      <c r="R82" s="10">
        <f>Financials[[#This Row],[ Profit ]]/Financials[[#This Row],[  Sales ]]</f>
        <v/>
      </c>
      <c r="S82" s="2">
        <f>Financials[[#This Row],[ COGS ]]/Financials[[#This Row],[  Sales ]]</f>
        <v/>
      </c>
      <c r="T82" s="3">
        <f>Financials[[#This Row],[ Discounts ]]/Financials[[#This Row],[  Sales ]]</f>
        <v/>
      </c>
      <c r="U82">
        <f>Financials[[#This Row],[  Sales ]]/Financials[[#This Row],[ Units_Sold ]]</f>
        <v/>
      </c>
      <c r="V82">
        <f>Financials[[#This Row],[ Profit ]]/Financials[[#This Row],[ Units_Sold ]]</f>
        <v/>
      </c>
      <c r="W82">
        <f>IF(Financials[[#This Row],[ Profit ]]&lt;0,1,0)</f>
        <v/>
      </c>
    </row>
    <row r="83">
      <c r="A83" t="inlineStr">
        <is>
          <t>Small Business</t>
        </is>
      </c>
      <c r="B83" t="inlineStr">
        <is>
          <t>United States of America</t>
        </is>
      </c>
      <c r="C83" t="inlineStr">
        <is>
          <t xml:space="preserve"> Paseo </t>
        </is>
      </c>
      <c r="D83" t="inlineStr">
        <is>
          <t xml:space="preserve"> Low </t>
        </is>
      </c>
      <c r="E83" t="n">
        <v>2905</v>
      </c>
      <c r="F83" s="69" t="n">
        <v>10</v>
      </c>
      <c r="G83" s="69" t="n">
        <v>300</v>
      </c>
      <c r="H83" s="69" t="n">
        <v>871500</v>
      </c>
      <c r="I83" s="5" t="n">
        <v>8715</v>
      </c>
      <c r="J83" s="69" t="n">
        <v>862785</v>
      </c>
      <c r="K83" s="69" t="n">
        <v>726250</v>
      </c>
      <c r="L83" s="69" t="n">
        <v>136535</v>
      </c>
      <c r="M83" s="1" t="n">
        <v>41650</v>
      </c>
      <c r="N83" t="n">
        <v>11</v>
      </c>
      <c r="O83" t="inlineStr">
        <is>
          <t xml:space="preserve"> November </t>
        </is>
      </c>
      <c r="P83" t="n">
        <v>2014</v>
      </c>
      <c r="Q83">
        <f>IF(Financials[[#This Row],[ Units_Sold ]]&lt;&gt;INT(Financials[[#This Row],[ Units_Sold ]]),1,0)</f>
        <v/>
      </c>
      <c r="R83" s="10">
        <f>Financials[[#This Row],[ Profit ]]/Financials[[#This Row],[  Sales ]]</f>
        <v/>
      </c>
      <c r="S83" s="2">
        <f>Financials[[#This Row],[ COGS ]]/Financials[[#This Row],[  Sales ]]</f>
        <v/>
      </c>
      <c r="T83" s="3">
        <f>Financials[[#This Row],[ Discounts ]]/Financials[[#This Row],[  Sales ]]</f>
        <v/>
      </c>
      <c r="U83">
        <f>Financials[[#This Row],[  Sales ]]/Financials[[#This Row],[ Units_Sold ]]</f>
        <v/>
      </c>
      <c r="V83">
        <f>Financials[[#This Row],[ Profit ]]/Financials[[#This Row],[ Units_Sold ]]</f>
        <v/>
      </c>
      <c r="W83">
        <f>IF(Financials[[#This Row],[ Profit ]]&lt;0,1,0)</f>
        <v/>
      </c>
    </row>
    <row r="84">
      <c r="A84" t="inlineStr">
        <is>
          <t>Government</t>
        </is>
      </c>
      <c r="B84" t="inlineStr">
        <is>
          <t>France</t>
        </is>
      </c>
      <c r="C84" t="inlineStr">
        <is>
          <t xml:space="preserve"> Paseo </t>
        </is>
      </c>
      <c r="D84" t="inlineStr">
        <is>
          <t xml:space="preserve"> Low </t>
        </is>
      </c>
      <c r="E84" t="n">
        <v>2155</v>
      </c>
      <c r="F84" s="69" t="n">
        <v>10</v>
      </c>
      <c r="G84" s="69" t="n">
        <v>350</v>
      </c>
      <c r="H84" s="69" t="n">
        <v>754250</v>
      </c>
      <c r="I84" s="5" t="n">
        <v>7542.5</v>
      </c>
      <c r="J84" s="69" t="n">
        <v>746707.5</v>
      </c>
      <c r="K84" s="69" t="n">
        <v>560300</v>
      </c>
      <c r="L84" s="69" t="n">
        <v>186407.5</v>
      </c>
      <c r="M84" s="1" t="n">
        <v>41651</v>
      </c>
      <c r="N84" t="n">
        <v>12</v>
      </c>
      <c r="O84" t="inlineStr">
        <is>
          <t xml:space="preserve"> December </t>
        </is>
      </c>
      <c r="P84" t="n">
        <v>2014</v>
      </c>
      <c r="Q84">
        <f>IF(Financials[[#This Row],[ Units_Sold ]]&lt;&gt;INT(Financials[[#This Row],[ Units_Sold ]]),1,0)</f>
        <v/>
      </c>
      <c r="R84" s="10">
        <f>Financials[[#This Row],[ Profit ]]/Financials[[#This Row],[  Sales ]]</f>
        <v/>
      </c>
      <c r="S84" s="2">
        <f>Financials[[#This Row],[ COGS ]]/Financials[[#This Row],[  Sales ]]</f>
        <v/>
      </c>
      <c r="T84" s="3">
        <f>Financials[[#This Row],[ Discounts ]]/Financials[[#This Row],[  Sales ]]</f>
        <v/>
      </c>
      <c r="U84">
        <f>Financials[[#This Row],[  Sales ]]/Financials[[#This Row],[ Units_Sold ]]</f>
        <v/>
      </c>
      <c r="V84">
        <f>Financials[[#This Row],[ Profit ]]/Financials[[#This Row],[ Units_Sold ]]</f>
        <v/>
      </c>
      <c r="W84">
        <f>IF(Financials[[#This Row],[ Profit ]]&lt;0,1,0)</f>
        <v/>
      </c>
    </row>
    <row r="85">
      <c r="A85" t="inlineStr">
        <is>
          <t>Government</t>
        </is>
      </c>
      <c r="B85" t="inlineStr">
        <is>
          <t>France</t>
        </is>
      </c>
      <c r="C85" t="inlineStr">
        <is>
          <t xml:space="preserve"> Velo </t>
        </is>
      </c>
      <c r="D85" t="inlineStr">
        <is>
          <t xml:space="preserve"> Low </t>
        </is>
      </c>
      <c r="E85" t="n">
        <v>3864</v>
      </c>
      <c r="F85" s="69" t="n">
        <v>120</v>
      </c>
      <c r="G85" s="69" t="n">
        <v>20</v>
      </c>
      <c r="H85" s="69" t="n">
        <v>77280</v>
      </c>
      <c r="I85" s="5" t="n">
        <v>772.8</v>
      </c>
      <c r="J85" s="69" t="n">
        <v>76507.2</v>
      </c>
      <c r="K85" s="69" t="n">
        <v>38640</v>
      </c>
      <c r="L85" s="69" t="n">
        <v>37867.2</v>
      </c>
      <c r="M85" s="1" t="n">
        <v>41643</v>
      </c>
      <c r="N85" t="n">
        <v>4</v>
      </c>
      <c r="O85" t="inlineStr">
        <is>
          <t xml:space="preserve"> April </t>
        </is>
      </c>
      <c r="P85" t="n">
        <v>2014</v>
      </c>
      <c r="Q85">
        <f>IF(Financials[[#This Row],[ Units_Sold ]]&lt;&gt;INT(Financials[[#This Row],[ Units_Sold ]]),1,0)</f>
        <v/>
      </c>
      <c r="R85" s="10">
        <f>Financials[[#This Row],[ Profit ]]/Financials[[#This Row],[  Sales ]]</f>
        <v/>
      </c>
      <c r="S85" s="2">
        <f>Financials[[#This Row],[ COGS ]]/Financials[[#This Row],[  Sales ]]</f>
        <v/>
      </c>
      <c r="T85" s="3">
        <f>Financials[[#This Row],[ Discounts ]]/Financials[[#This Row],[  Sales ]]</f>
        <v/>
      </c>
      <c r="U85">
        <f>Financials[[#This Row],[  Sales ]]/Financials[[#This Row],[ Units_Sold ]]</f>
        <v/>
      </c>
      <c r="V85">
        <f>Financials[[#This Row],[ Profit ]]/Financials[[#This Row],[ Units_Sold ]]</f>
        <v/>
      </c>
      <c r="W85">
        <f>IF(Financials[[#This Row],[ Profit ]]&lt;0,1,0)</f>
        <v/>
      </c>
    </row>
    <row r="86">
      <c r="A86" t="inlineStr">
        <is>
          <t>Government</t>
        </is>
      </c>
      <c r="B86" t="inlineStr">
        <is>
          <t>Mexico</t>
        </is>
      </c>
      <c r="C86" t="inlineStr">
        <is>
          <t xml:space="preserve"> Velo </t>
        </is>
      </c>
      <c r="D86" t="inlineStr">
        <is>
          <t xml:space="preserve"> Low </t>
        </is>
      </c>
      <c r="E86" t="n">
        <v>362</v>
      </c>
      <c r="F86" s="69" t="n">
        <v>120</v>
      </c>
      <c r="G86" s="69" t="n">
        <v>7</v>
      </c>
      <c r="H86" s="69" t="n">
        <v>2534</v>
      </c>
      <c r="I86" s="5" t="n">
        <v>25.34</v>
      </c>
      <c r="J86" s="69" t="n">
        <v>2508.66</v>
      </c>
      <c r="K86" s="69" t="n">
        <v>1810</v>
      </c>
      <c r="L86" s="69" t="n">
        <v>698.66</v>
      </c>
      <c r="M86" s="1" t="n">
        <v>41644</v>
      </c>
      <c r="N86" t="n">
        <v>5</v>
      </c>
      <c r="O86" t="inlineStr">
        <is>
          <t xml:space="preserve"> May </t>
        </is>
      </c>
      <c r="P86" t="n">
        <v>2014</v>
      </c>
      <c r="Q86">
        <f>IF(Financials[[#This Row],[ Units_Sold ]]&lt;&gt;INT(Financials[[#This Row],[ Units_Sold ]]),1,0)</f>
        <v/>
      </c>
      <c r="R86" s="10">
        <f>Financials[[#This Row],[ Profit ]]/Financials[[#This Row],[  Sales ]]</f>
        <v/>
      </c>
      <c r="S86" s="2">
        <f>Financials[[#This Row],[ COGS ]]/Financials[[#This Row],[  Sales ]]</f>
        <v/>
      </c>
      <c r="T86" s="3">
        <f>Financials[[#This Row],[ Discounts ]]/Financials[[#This Row],[  Sales ]]</f>
        <v/>
      </c>
      <c r="U86">
        <f>Financials[[#This Row],[  Sales ]]/Financials[[#This Row],[ Units_Sold ]]</f>
        <v/>
      </c>
      <c r="V86">
        <f>Financials[[#This Row],[ Profit ]]/Financials[[#This Row],[ Units_Sold ]]</f>
        <v/>
      </c>
      <c r="W86">
        <f>IF(Financials[[#This Row],[ Profit ]]&lt;0,1,0)</f>
        <v/>
      </c>
    </row>
    <row r="87">
      <c r="A87" t="inlineStr">
        <is>
          <t>Enterprise</t>
        </is>
      </c>
      <c r="B87" t="inlineStr">
        <is>
          <t>Canada</t>
        </is>
      </c>
      <c r="C87" t="inlineStr">
        <is>
          <t xml:space="preserve"> Velo </t>
        </is>
      </c>
      <c r="D87" t="inlineStr">
        <is>
          <t xml:space="preserve"> Low </t>
        </is>
      </c>
      <c r="E87" t="n">
        <v>923</v>
      </c>
      <c r="F87" s="69" t="n">
        <v>120</v>
      </c>
      <c r="G87" s="69" t="n">
        <v>125</v>
      </c>
      <c r="H87" s="69" t="n">
        <v>115375</v>
      </c>
      <c r="I87" s="5" t="n">
        <v>1153.75</v>
      </c>
      <c r="J87" s="69" t="n">
        <v>114221.25</v>
      </c>
      <c r="K87" s="69" t="n">
        <v>110760</v>
      </c>
      <c r="L87" s="69" t="n">
        <v>3461.25</v>
      </c>
      <c r="M87" s="1" t="n">
        <v>41647</v>
      </c>
      <c r="N87" t="n">
        <v>8</v>
      </c>
      <c r="O87" t="inlineStr">
        <is>
          <t xml:space="preserve"> August </t>
        </is>
      </c>
      <c r="P87" t="n">
        <v>2014</v>
      </c>
      <c r="Q87">
        <f>IF(Financials[[#This Row],[ Units_Sold ]]&lt;&gt;INT(Financials[[#This Row],[ Units_Sold ]]),1,0)</f>
        <v/>
      </c>
      <c r="R87" s="10">
        <f>Financials[[#This Row],[ Profit ]]/Financials[[#This Row],[  Sales ]]</f>
        <v/>
      </c>
      <c r="S87" s="2">
        <f>Financials[[#This Row],[ COGS ]]/Financials[[#This Row],[  Sales ]]</f>
        <v/>
      </c>
      <c r="T87" s="3">
        <f>Financials[[#This Row],[ Discounts ]]/Financials[[#This Row],[  Sales ]]</f>
        <v/>
      </c>
      <c r="U87">
        <f>Financials[[#This Row],[  Sales ]]/Financials[[#This Row],[ Units_Sold ]]</f>
        <v/>
      </c>
      <c r="V87">
        <f>Financials[[#This Row],[ Profit ]]/Financials[[#This Row],[ Units_Sold ]]</f>
        <v/>
      </c>
      <c r="W87">
        <f>IF(Financials[[#This Row],[ Profit ]]&lt;0,1,0)</f>
        <v/>
      </c>
    </row>
    <row r="88">
      <c r="A88" t="inlineStr">
        <is>
          <t>Enterprise</t>
        </is>
      </c>
      <c r="B88" t="inlineStr">
        <is>
          <t>United States of America</t>
        </is>
      </c>
      <c r="C88" t="inlineStr">
        <is>
          <t xml:space="preserve"> Velo </t>
        </is>
      </c>
      <c r="D88" t="inlineStr">
        <is>
          <t xml:space="preserve"> Low </t>
        </is>
      </c>
      <c r="E88" t="n">
        <v>663</v>
      </c>
      <c r="F88" s="69" t="n">
        <v>120</v>
      </c>
      <c r="G88" s="69" t="n">
        <v>125</v>
      </c>
      <c r="H88" s="69" t="n">
        <v>82875</v>
      </c>
      <c r="I88" s="5" t="n">
        <v>828.75</v>
      </c>
      <c r="J88" s="69" t="n">
        <v>82046.25</v>
      </c>
      <c r="K88" s="69" t="n">
        <v>79560</v>
      </c>
      <c r="L88" s="69" t="n">
        <v>2486.25</v>
      </c>
      <c r="M88" s="1" t="n">
        <v>41284</v>
      </c>
      <c r="N88" t="n">
        <v>10</v>
      </c>
      <c r="O88" t="inlineStr">
        <is>
          <t xml:space="preserve"> October </t>
        </is>
      </c>
      <c r="P88" t="n">
        <v>2013</v>
      </c>
      <c r="Q88">
        <f>IF(Financials[[#This Row],[ Units_Sold ]]&lt;&gt;INT(Financials[[#This Row],[ Units_Sold ]]),1,0)</f>
        <v/>
      </c>
      <c r="R88" s="10">
        <f>Financials[[#This Row],[ Profit ]]/Financials[[#This Row],[  Sales ]]</f>
        <v/>
      </c>
      <c r="S88" s="2">
        <f>Financials[[#This Row],[ COGS ]]/Financials[[#This Row],[  Sales ]]</f>
        <v/>
      </c>
      <c r="T88" s="3">
        <f>Financials[[#This Row],[ Discounts ]]/Financials[[#This Row],[  Sales ]]</f>
        <v/>
      </c>
      <c r="U88">
        <f>Financials[[#This Row],[  Sales ]]/Financials[[#This Row],[ Units_Sold ]]</f>
        <v/>
      </c>
      <c r="V88">
        <f>Financials[[#This Row],[ Profit ]]/Financials[[#This Row],[ Units_Sold ]]</f>
        <v/>
      </c>
      <c r="W88">
        <f>IF(Financials[[#This Row],[ Profit ]]&lt;0,1,0)</f>
        <v/>
      </c>
    </row>
    <row r="89">
      <c r="A89" t="inlineStr">
        <is>
          <t>Government</t>
        </is>
      </c>
      <c r="B89" t="inlineStr">
        <is>
          <t>Canada</t>
        </is>
      </c>
      <c r="C89" t="inlineStr">
        <is>
          <t xml:space="preserve"> Velo </t>
        </is>
      </c>
      <c r="D89" t="inlineStr">
        <is>
          <t xml:space="preserve"> Low </t>
        </is>
      </c>
      <c r="E89" t="n">
        <v>2092</v>
      </c>
      <c r="F89" s="69" t="n">
        <v>120</v>
      </c>
      <c r="G89" s="69" t="n">
        <v>7</v>
      </c>
      <c r="H89" s="69" t="n">
        <v>14644</v>
      </c>
      <c r="I89" s="5" t="n">
        <v>146.44</v>
      </c>
      <c r="J89" s="69" t="n">
        <v>14497.56</v>
      </c>
      <c r="K89" s="69" t="n">
        <v>10460</v>
      </c>
      <c r="L89" s="69" t="n">
        <v>4037.56</v>
      </c>
      <c r="M89" s="1" t="n">
        <v>41285</v>
      </c>
      <c r="N89" t="n">
        <v>11</v>
      </c>
      <c r="O89" t="inlineStr">
        <is>
          <t xml:space="preserve"> November </t>
        </is>
      </c>
      <c r="P89" t="n">
        <v>2013</v>
      </c>
      <c r="Q89">
        <f>IF(Financials[[#This Row],[ Units_Sold ]]&lt;&gt;INT(Financials[[#This Row],[ Units_Sold ]]),1,0)</f>
        <v/>
      </c>
      <c r="R89" s="10">
        <f>Financials[[#This Row],[ Profit ]]/Financials[[#This Row],[  Sales ]]</f>
        <v/>
      </c>
      <c r="S89" s="2">
        <f>Financials[[#This Row],[ COGS ]]/Financials[[#This Row],[  Sales ]]</f>
        <v/>
      </c>
      <c r="T89" s="3">
        <f>Financials[[#This Row],[ Discounts ]]/Financials[[#This Row],[  Sales ]]</f>
        <v/>
      </c>
      <c r="U89">
        <f>Financials[[#This Row],[  Sales ]]/Financials[[#This Row],[ Units_Sold ]]</f>
        <v/>
      </c>
      <c r="V89">
        <f>Financials[[#This Row],[ Profit ]]/Financials[[#This Row],[ Units_Sold ]]</f>
        <v/>
      </c>
      <c r="W89">
        <f>IF(Financials[[#This Row],[ Profit ]]&lt;0,1,0)</f>
        <v/>
      </c>
    </row>
    <row r="90">
      <c r="A90" t="inlineStr">
        <is>
          <t>Government</t>
        </is>
      </c>
      <c r="B90" t="inlineStr">
        <is>
          <t>Germany</t>
        </is>
      </c>
      <c r="C90" t="inlineStr">
        <is>
          <t xml:space="preserve"> VTT </t>
        </is>
      </c>
      <c r="D90" t="inlineStr">
        <is>
          <t xml:space="preserve"> Low </t>
        </is>
      </c>
      <c r="E90" t="n">
        <v>263</v>
      </c>
      <c r="F90" s="69" t="n">
        <v>250</v>
      </c>
      <c r="G90" s="69" t="n">
        <v>7</v>
      </c>
      <c r="H90" s="69" t="n">
        <v>1841</v>
      </c>
      <c r="I90" s="5" t="n">
        <v>18.41</v>
      </c>
      <c r="J90" s="69" t="n">
        <v>1822.59</v>
      </c>
      <c r="K90" s="69" t="n">
        <v>1315</v>
      </c>
      <c r="L90" s="69" t="n">
        <v>507.59</v>
      </c>
      <c r="M90" s="1" t="n">
        <v>41642</v>
      </c>
      <c r="N90" t="n">
        <v>3</v>
      </c>
      <c r="O90" t="inlineStr">
        <is>
          <t xml:space="preserve"> March </t>
        </is>
      </c>
      <c r="P90" t="n">
        <v>2014</v>
      </c>
      <c r="Q90">
        <f>IF(Financials[[#This Row],[ Units_Sold ]]&lt;&gt;INT(Financials[[#This Row],[ Units_Sold ]]),1,0)</f>
        <v/>
      </c>
      <c r="R90" s="10">
        <f>Financials[[#This Row],[ Profit ]]/Financials[[#This Row],[  Sales ]]</f>
        <v/>
      </c>
      <c r="S90" s="2">
        <f>Financials[[#This Row],[ COGS ]]/Financials[[#This Row],[  Sales ]]</f>
        <v/>
      </c>
      <c r="T90" s="3">
        <f>Financials[[#This Row],[ Discounts ]]/Financials[[#This Row],[  Sales ]]</f>
        <v/>
      </c>
      <c r="U90">
        <f>Financials[[#This Row],[  Sales ]]/Financials[[#This Row],[ Units_Sold ]]</f>
        <v/>
      </c>
      <c r="V90">
        <f>Financials[[#This Row],[ Profit ]]/Financials[[#This Row],[ Units_Sold ]]</f>
        <v/>
      </c>
      <c r="W90">
        <f>IF(Financials[[#This Row],[ Profit ]]&lt;0,1,0)</f>
        <v/>
      </c>
    </row>
    <row r="91">
      <c r="A91" t="inlineStr">
        <is>
          <t>Government</t>
        </is>
      </c>
      <c r="B91" t="inlineStr">
        <is>
          <t>Canada</t>
        </is>
      </c>
      <c r="C91" t="inlineStr">
        <is>
          <t xml:space="preserve"> VTT </t>
        </is>
      </c>
      <c r="D91" t="inlineStr">
        <is>
          <t xml:space="preserve"> Low </t>
        </is>
      </c>
      <c r="E91" t="n">
        <v>943.5</v>
      </c>
      <c r="F91" s="69" t="n">
        <v>250</v>
      </c>
      <c r="G91" s="69" t="n">
        <v>350</v>
      </c>
      <c r="H91" s="69" t="n">
        <v>330225</v>
      </c>
      <c r="I91" s="5" t="n">
        <v>3302.25</v>
      </c>
      <c r="J91" s="69" t="n">
        <v>326922.75</v>
      </c>
      <c r="K91" s="69" t="n">
        <v>245310</v>
      </c>
      <c r="L91" s="69" t="n">
        <v>81612.75</v>
      </c>
      <c r="M91" s="1" t="n">
        <v>41643</v>
      </c>
      <c r="N91" t="n">
        <v>4</v>
      </c>
      <c r="O91" t="inlineStr">
        <is>
          <t xml:space="preserve"> April </t>
        </is>
      </c>
      <c r="P91" t="n">
        <v>2014</v>
      </c>
      <c r="Q91">
        <f>IF(Financials[[#This Row],[ Units_Sold ]]&lt;&gt;INT(Financials[[#This Row],[ Units_Sold ]]),1,0)</f>
        <v/>
      </c>
      <c r="R91" s="10">
        <f>Financials[[#This Row],[ Profit ]]/Financials[[#This Row],[  Sales ]]</f>
        <v/>
      </c>
      <c r="S91" s="2">
        <f>Financials[[#This Row],[ COGS ]]/Financials[[#This Row],[  Sales ]]</f>
        <v/>
      </c>
      <c r="T91" s="3">
        <f>Financials[[#This Row],[ Discounts ]]/Financials[[#This Row],[  Sales ]]</f>
        <v/>
      </c>
      <c r="U91">
        <f>Financials[[#This Row],[  Sales ]]/Financials[[#This Row],[ Units_Sold ]]</f>
        <v/>
      </c>
      <c r="V91">
        <f>Financials[[#This Row],[ Profit ]]/Financials[[#This Row],[ Units_Sold ]]</f>
        <v/>
      </c>
      <c r="W91">
        <f>IF(Financials[[#This Row],[ Profit ]]&lt;0,1,0)</f>
        <v/>
      </c>
    </row>
    <row r="92">
      <c r="A92" t="inlineStr">
        <is>
          <t>Enterprise</t>
        </is>
      </c>
      <c r="B92" t="inlineStr">
        <is>
          <t>United States of America</t>
        </is>
      </c>
      <c r="C92" t="inlineStr">
        <is>
          <t xml:space="preserve"> VTT </t>
        </is>
      </c>
      <c r="D92" t="inlineStr">
        <is>
          <t xml:space="preserve"> Low </t>
        </is>
      </c>
      <c r="E92" t="n">
        <v>727</v>
      </c>
      <c r="F92" s="69" t="n">
        <v>250</v>
      </c>
      <c r="G92" s="69" t="n">
        <v>125</v>
      </c>
      <c r="H92" s="69" t="n">
        <v>90875</v>
      </c>
      <c r="I92" s="5" t="n">
        <v>908.75</v>
      </c>
      <c r="J92" s="69" t="n">
        <v>89966.25</v>
      </c>
      <c r="K92" s="69" t="n">
        <v>87240</v>
      </c>
      <c r="L92" s="69" t="n">
        <v>2726.25</v>
      </c>
      <c r="M92" s="1" t="n">
        <v>41645</v>
      </c>
      <c r="N92" t="n">
        <v>6</v>
      </c>
      <c r="O92" t="inlineStr">
        <is>
          <t xml:space="preserve"> June </t>
        </is>
      </c>
      <c r="P92" t="n">
        <v>2014</v>
      </c>
      <c r="Q92">
        <f>IF(Financials[[#This Row],[ Units_Sold ]]&lt;&gt;INT(Financials[[#This Row],[ Units_Sold ]]),1,0)</f>
        <v/>
      </c>
      <c r="R92" s="10">
        <f>Financials[[#This Row],[ Profit ]]/Financials[[#This Row],[  Sales ]]</f>
        <v/>
      </c>
      <c r="S92" s="2">
        <f>Financials[[#This Row],[ COGS ]]/Financials[[#This Row],[  Sales ]]</f>
        <v/>
      </c>
      <c r="T92" s="3">
        <f>Financials[[#This Row],[ Discounts ]]/Financials[[#This Row],[  Sales ]]</f>
        <v/>
      </c>
      <c r="U92">
        <f>Financials[[#This Row],[  Sales ]]/Financials[[#This Row],[ Units_Sold ]]</f>
        <v/>
      </c>
      <c r="V92">
        <f>Financials[[#This Row],[ Profit ]]/Financials[[#This Row],[ Units_Sold ]]</f>
        <v/>
      </c>
      <c r="W92">
        <f>IF(Financials[[#This Row],[ Profit ]]&lt;0,1,0)</f>
        <v/>
      </c>
    </row>
    <row r="93">
      <c r="A93" t="inlineStr">
        <is>
          <t>Enterprise</t>
        </is>
      </c>
      <c r="B93" t="inlineStr">
        <is>
          <t>France</t>
        </is>
      </c>
      <c r="C93" t="inlineStr">
        <is>
          <t xml:space="preserve"> VTT </t>
        </is>
      </c>
      <c r="D93" t="inlineStr">
        <is>
          <t xml:space="preserve"> Low </t>
        </is>
      </c>
      <c r="E93" t="n">
        <v>787</v>
      </c>
      <c r="F93" s="69" t="n">
        <v>250</v>
      </c>
      <c r="G93" s="69" t="n">
        <v>125</v>
      </c>
      <c r="H93" s="69" t="n">
        <v>98375</v>
      </c>
      <c r="I93" s="5" t="n">
        <v>983.75</v>
      </c>
      <c r="J93" s="69" t="n">
        <v>97391.25</v>
      </c>
      <c r="K93" s="69" t="n">
        <v>94440</v>
      </c>
      <c r="L93" s="69" t="n">
        <v>2951.25</v>
      </c>
      <c r="M93" s="1" t="n">
        <v>41645</v>
      </c>
      <c r="N93" t="n">
        <v>6</v>
      </c>
      <c r="O93" t="inlineStr">
        <is>
          <t xml:space="preserve"> June </t>
        </is>
      </c>
      <c r="P93" t="n">
        <v>2014</v>
      </c>
      <c r="Q93">
        <f>IF(Financials[[#This Row],[ Units_Sold ]]&lt;&gt;INT(Financials[[#This Row],[ Units_Sold ]]),1,0)</f>
        <v/>
      </c>
      <c r="R93" s="10">
        <f>Financials[[#This Row],[ Profit ]]/Financials[[#This Row],[  Sales ]]</f>
        <v/>
      </c>
      <c r="S93" s="2">
        <f>Financials[[#This Row],[ COGS ]]/Financials[[#This Row],[  Sales ]]</f>
        <v/>
      </c>
      <c r="T93" s="3">
        <f>Financials[[#This Row],[ Discounts ]]/Financials[[#This Row],[  Sales ]]</f>
        <v/>
      </c>
      <c r="U93">
        <f>Financials[[#This Row],[  Sales ]]/Financials[[#This Row],[ Units_Sold ]]</f>
        <v/>
      </c>
      <c r="V93">
        <f>Financials[[#This Row],[ Profit ]]/Financials[[#This Row],[ Units_Sold ]]</f>
        <v/>
      </c>
      <c r="W93">
        <f>IF(Financials[[#This Row],[ Profit ]]&lt;0,1,0)</f>
        <v/>
      </c>
    </row>
    <row r="94">
      <c r="A94" t="inlineStr">
        <is>
          <t>Small Business</t>
        </is>
      </c>
      <c r="B94" t="inlineStr">
        <is>
          <t>Germany</t>
        </is>
      </c>
      <c r="C94" t="inlineStr">
        <is>
          <t xml:space="preserve"> VTT </t>
        </is>
      </c>
      <c r="D94" t="inlineStr">
        <is>
          <t xml:space="preserve"> Low </t>
        </is>
      </c>
      <c r="E94" t="n">
        <v>986</v>
      </c>
      <c r="F94" s="69" t="n">
        <v>250</v>
      </c>
      <c r="G94" s="69" t="n">
        <v>300</v>
      </c>
      <c r="H94" s="69" t="n">
        <v>295800</v>
      </c>
      <c r="I94" s="5" t="n">
        <v>2958</v>
      </c>
      <c r="J94" s="69" t="n">
        <v>292842</v>
      </c>
      <c r="K94" s="69" t="n">
        <v>246500</v>
      </c>
      <c r="L94" s="69" t="n">
        <v>46342</v>
      </c>
      <c r="M94" s="1" t="n">
        <v>41648</v>
      </c>
      <c r="N94" t="n">
        <v>9</v>
      </c>
      <c r="O94" t="inlineStr">
        <is>
          <t xml:space="preserve"> September </t>
        </is>
      </c>
      <c r="P94" t="n">
        <v>2014</v>
      </c>
      <c r="Q94">
        <f>IF(Financials[[#This Row],[ Units_Sold ]]&lt;&gt;INT(Financials[[#This Row],[ Units_Sold ]]),1,0)</f>
        <v/>
      </c>
      <c r="R94" s="10">
        <f>Financials[[#This Row],[ Profit ]]/Financials[[#This Row],[  Sales ]]</f>
        <v/>
      </c>
      <c r="S94" s="2">
        <f>Financials[[#This Row],[ COGS ]]/Financials[[#This Row],[  Sales ]]</f>
        <v/>
      </c>
      <c r="T94" s="3">
        <f>Financials[[#This Row],[ Discounts ]]/Financials[[#This Row],[  Sales ]]</f>
        <v/>
      </c>
      <c r="U94">
        <f>Financials[[#This Row],[  Sales ]]/Financials[[#This Row],[ Units_Sold ]]</f>
        <v/>
      </c>
      <c r="V94">
        <f>Financials[[#This Row],[ Profit ]]/Financials[[#This Row],[ Units_Sold ]]</f>
        <v/>
      </c>
      <c r="W94">
        <f>IF(Financials[[#This Row],[ Profit ]]&lt;0,1,0)</f>
        <v/>
      </c>
    </row>
    <row r="95">
      <c r="A95" t="inlineStr">
        <is>
          <t>Small Business</t>
        </is>
      </c>
      <c r="B95" t="inlineStr">
        <is>
          <t>Mexico</t>
        </is>
      </c>
      <c r="C95" t="inlineStr">
        <is>
          <t xml:space="preserve"> VTT </t>
        </is>
      </c>
      <c r="D95" t="inlineStr">
        <is>
          <t xml:space="preserve"> Low </t>
        </is>
      </c>
      <c r="E95" t="n">
        <v>494</v>
      </c>
      <c r="F95" s="69" t="n">
        <v>250</v>
      </c>
      <c r="G95" s="69" t="n">
        <v>300</v>
      </c>
      <c r="H95" s="69" t="n">
        <v>148200</v>
      </c>
      <c r="I95" s="5" t="n">
        <v>1482</v>
      </c>
      <c r="J95" s="69" t="n">
        <v>146718</v>
      </c>
      <c r="K95" s="69" t="n">
        <v>123500</v>
      </c>
      <c r="L95" s="69" t="n">
        <v>23218</v>
      </c>
      <c r="M95" s="1" t="n">
        <v>41284</v>
      </c>
      <c r="N95" t="n">
        <v>10</v>
      </c>
      <c r="O95" t="inlineStr">
        <is>
          <t xml:space="preserve"> October </t>
        </is>
      </c>
      <c r="P95" t="n">
        <v>2013</v>
      </c>
      <c r="Q95">
        <f>IF(Financials[[#This Row],[ Units_Sold ]]&lt;&gt;INT(Financials[[#This Row],[ Units_Sold ]]),1,0)</f>
        <v/>
      </c>
      <c r="R95" s="10">
        <f>Financials[[#This Row],[ Profit ]]/Financials[[#This Row],[  Sales ]]</f>
        <v/>
      </c>
      <c r="S95" s="2">
        <f>Financials[[#This Row],[ COGS ]]/Financials[[#This Row],[  Sales ]]</f>
        <v/>
      </c>
      <c r="T95" s="3">
        <f>Financials[[#This Row],[ Discounts ]]/Financials[[#This Row],[  Sales ]]</f>
        <v/>
      </c>
      <c r="U95">
        <f>Financials[[#This Row],[  Sales ]]/Financials[[#This Row],[ Units_Sold ]]</f>
        <v/>
      </c>
      <c r="V95">
        <f>Financials[[#This Row],[ Profit ]]/Financials[[#This Row],[ Units_Sold ]]</f>
        <v/>
      </c>
      <c r="W95">
        <f>IF(Financials[[#This Row],[ Profit ]]&lt;0,1,0)</f>
        <v/>
      </c>
    </row>
    <row r="96">
      <c r="A96" t="inlineStr">
        <is>
          <t>Government</t>
        </is>
      </c>
      <c r="B96" t="inlineStr">
        <is>
          <t>Mexico</t>
        </is>
      </c>
      <c r="C96" t="inlineStr">
        <is>
          <t xml:space="preserve"> VTT </t>
        </is>
      </c>
      <c r="D96" t="inlineStr">
        <is>
          <t xml:space="preserve"> Low </t>
        </is>
      </c>
      <c r="E96" t="n">
        <v>1397</v>
      </c>
      <c r="F96" s="69" t="n">
        <v>250</v>
      </c>
      <c r="G96" s="69" t="n">
        <v>350</v>
      </c>
      <c r="H96" s="69" t="n">
        <v>488950</v>
      </c>
      <c r="I96" s="5" t="n">
        <v>4889.5</v>
      </c>
      <c r="J96" s="69" t="n">
        <v>484060.5</v>
      </c>
      <c r="K96" s="69" t="n">
        <v>363220</v>
      </c>
      <c r="L96" s="69" t="n">
        <v>120840.5</v>
      </c>
      <c r="M96" s="1" t="n">
        <v>41649</v>
      </c>
      <c r="N96" t="n">
        <v>10</v>
      </c>
      <c r="O96" t="inlineStr">
        <is>
          <t xml:space="preserve"> October </t>
        </is>
      </c>
      <c r="P96" t="n">
        <v>2014</v>
      </c>
      <c r="Q96">
        <f>IF(Financials[[#This Row],[ Units_Sold ]]&lt;&gt;INT(Financials[[#This Row],[ Units_Sold ]]),1,0)</f>
        <v/>
      </c>
      <c r="R96" s="10">
        <f>Financials[[#This Row],[ Profit ]]/Financials[[#This Row],[  Sales ]]</f>
        <v/>
      </c>
      <c r="S96" s="2">
        <f>Financials[[#This Row],[ COGS ]]/Financials[[#This Row],[  Sales ]]</f>
        <v/>
      </c>
      <c r="T96" s="3">
        <f>Financials[[#This Row],[ Discounts ]]/Financials[[#This Row],[  Sales ]]</f>
        <v/>
      </c>
      <c r="U96">
        <f>Financials[[#This Row],[  Sales ]]/Financials[[#This Row],[ Units_Sold ]]</f>
        <v/>
      </c>
      <c r="V96">
        <f>Financials[[#This Row],[ Profit ]]/Financials[[#This Row],[ Units_Sold ]]</f>
        <v/>
      </c>
      <c r="W96">
        <f>IF(Financials[[#This Row],[ Profit ]]&lt;0,1,0)</f>
        <v/>
      </c>
    </row>
    <row r="97">
      <c r="A97" t="inlineStr">
        <is>
          <t>Enterprise</t>
        </is>
      </c>
      <c r="B97" t="inlineStr">
        <is>
          <t>France</t>
        </is>
      </c>
      <c r="C97" t="inlineStr">
        <is>
          <t xml:space="preserve"> VTT </t>
        </is>
      </c>
      <c r="D97" t="inlineStr">
        <is>
          <t xml:space="preserve"> Low </t>
        </is>
      </c>
      <c r="E97" t="n">
        <v>1744</v>
      </c>
      <c r="F97" s="69" t="n">
        <v>250</v>
      </c>
      <c r="G97" s="69" t="n">
        <v>125</v>
      </c>
      <c r="H97" s="69" t="n">
        <v>218000</v>
      </c>
      <c r="I97" s="5" t="n">
        <v>2180</v>
      </c>
      <c r="J97" s="69" t="n">
        <v>215820</v>
      </c>
      <c r="K97" s="69" t="n">
        <v>209280</v>
      </c>
      <c r="L97" s="69" t="n">
        <v>6540</v>
      </c>
      <c r="M97" s="1" t="n">
        <v>41650</v>
      </c>
      <c r="N97" t="n">
        <v>11</v>
      </c>
      <c r="O97" t="inlineStr">
        <is>
          <t xml:space="preserve"> November </t>
        </is>
      </c>
      <c r="P97" t="n">
        <v>2014</v>
      </c>
      <c r="Q97">
        <f>IF(Financials[[#This Row],[ Units_Sold ]]&lt;&gt;INT(Financials[[#This Row],[ Units_Sold ]]),1,0)</f>
        <v/>
      </c>
      <c r="R97" s="10">
        <f>Financials[[#This Row],[ Profit ]]/Financials[[#This Row],[  Sales ]]</f>
        <v/>
      </c>
      <c r="S97" s="2">
        <f>Financials[[#This Row],[ COGS ]]/Financials[[#This Row],[  Sales ]]</f>
        <v/>
      </c>
      <c r="T97" s="3">
        <f>Financials[[#This Row],[ Discounts ]]/Financials[[#This Row],[  Sales ]]</f>
        <v/>
      </c>
      <c r="U97">
        <f>Financials[[#This Row],[  Sales ]]/Financials[[#This Row],[ Units_Sold ]]</f>
        <v/>
      </c>
      <c r="V97">
        <f>Financials[[#This Row],[ Profit ]]/Financials[[#This Row],[ Units_Sold ]]</f>
        <v/>
      </c>
      <c r="W97">
        <f>IF(Financials[[#This Row],[ Profit ]]&lt;0,1,0)</f>
        <v/>
      </c>
    </row>
    <row r="98">
      <c r="A98" t="inlineStr">
        <is>
          <t>Channel Partners</t>
        </is>
      </c>
      <c r="B98" t="inlineStr">
        <is>
          <t>United States of America</t>
        </is>
      </c>
      <c r="C98" t="inlineStr">
        <is>
          <t xml:space="preserve"> Amarilla </t>
        </is>
      </c>
      <c r="D98" t="inlineStr">
        <is>
          <t xml:space="preserve"> Low </t>
        </is>
      </c>
      <c r="E98" t="n">
        <v>1989</v>
      </c>
      <c r="F98" s="69" t="n">
        <v>260</v>
      </c>
      <c r="G98" s="69" t="n">
        <v>12</v>
      </c>
      <c r="H98" s="69" t="n">
        <v>23868</v>
      </c>
      <c r="I98" s="5" t="n">
        <v>238.68</v>
      </c>
      <c r="J98" s="69" t="n">
        <v>23629.32</v>
      </c>
      <c r="K98" s="69" t="n">
        <v>5967</v>
      </c>
      <c r="L98" s="69" t="n">
        <v>17662.32</v>
      </c>
      <c r="M98" s="1" t="n">
        <v>41283</v>
      </c>
      <c r="N98" t="n">
        <v>9</v>
      </c>
      <c r="O98" t="inlineStr">
        <is>
          <t xml:space="preserve"> September </t>
        </is>
      </c>
      <c r="P98" t="n">
        <v>2013</v>
      </c>
      <c r="Q98">
        <f>IF(Financials[[#This Row],[ Units_Sold ]]&lt;&gt;INT(Financials[[#This Row],[ Units_Sold ]]),1,0)</f>
        <v/>
      </c>
      <c r="R98" s="10">
        <f>Financials[[#This Row],[ Profit ]]/Financials[[#This Row],[  Sales ]]</f>
        <v/>
      </c>
      <c r="S98" s="2">
        <f>Financials[[#This Row],[ COGS ]]/Financials[[#This Row],[  Sales ]]</f>
        <v/>
      </c>
      <c r="T98" s="3">
        <f>Financials[[#This Row],[ Discounts ]]/Financials[[#This Row],[  Sales ]]</f>
        <v/>
      </c>
      <c r="U98">
        <f>Financials[[#This Row],[  Sales ]]/Financials[[#This Row],[ Units_Sold ]]</f>
        <v/>
      </c>
      <c r="V98">
        <f>Financials[[#This Row],[ Profit ]]/Financials[[#This Row],[ Units_Sold ]]</f>
        <v/>
      </c>
      <c r="W98">
        <f>IF(Financials[[#This Row],[ Profit ]]&lt;0,1,0)</f>
        <v/>
      </c>
    </row>
    <row r="99">
      <c r="A99" t="inlineStr">
        <is>
          <t>Midmarket</t>
        </is>
      </c>
      <c r="B99" t="inlineStr">
        <is>
          <t>France</t>
        </is>
      </c>
      <c r="C99" t="inlineStr">
        <is>
          <t xml:space="preserve"> Amarilla </t>
        </is>
      </c>
      <c r="D99" t="inlineStr">
        <is>
          <t xml:space="preserve"> Low </t>
        </is>
      </c>
      <c r="E99" t="n">
        <v>321</v>
      </c>
      <c r="F99" s="69" t="n">
        <v>260</v>
      </c>
      <c r="G99" s="69" t="n">
        <v>15</v>
      </c>
      <c r="H99" s="69" t="n">
        <v>4815</v>
      </c>
      <c r="I99" s="5" t="n">
        <v>48.15</v>
      </c>
      <c r="J99" s="69" t="n">
        <v>4766.85</v>
      </c>
      <c r="K99" s="69" t="n">
        <v>3210</v>
      </c>
      <c r="L99" s="69" t="n">
        <v>1556.85</v>
      </c>
      <c r="M99" s="1" t="n">
        <v>41285</v>
      </c>
      <c r="N99" t="n">
        <v>11</v>
      </c>
      <c r="O99" t="inlineStr">
        <is>
          <t xml:space="preserve"> November </t>
        </is>
      </c>
      <c r="P99" t="n">
        <v>2013</v>
      </c>
      <c r="Q99">
        <f>IF(Financials[[#This Row],[ Units_Sold ]]&lt;&gt;INT(Financials[[#This Row],[ Units_Sold ]]),1,0)</f>
        <v/>
      </c>
      <c r="R99" s="10">
        <f>Financials[[#This Row],[ Profit ]]/Financials[[#This Row],[  Sales ]]</f>
        <v/>
      </c>
      <c r="S99" s="2">
        <f>Financials[[#This Row],[ COGS ]]/Financials[[#This Row],[  Sales ]]</f>
        <v/>
      </c>
      <c r="T99" s="3">
        <f>Financials[[#This Row],[ Discounts ]]/Financials[[#This Row],[  Sales ]]</f>
        <v/>
      </c>
      <c r="U99">
        <f>Financials[[#This Row],[  Sales ]]/Financials[[#This Row],[ Units_Sold ]]</f>
        <v/>
      </c>
      <c r="V99">
        <f>Financials[[#This Row],[ Profit ]]/Financials[[#This Row],[ Units_Sold ]]</f>
        <v/>
      </c>
      <c r="W99">
        <f>IF(Financials[[#This Row],[ Profit ]]&lt;0,1,0)</f>
        <v/>
      </c>
    </row>
    <row r="100">
      <c r="A100" t="inlineStr">
        <is>
          <t>Enterprise</t>
        </is>
      </c>
      <c r="B100" t="inlineStr">
        <is>
          <t>Canada</t>
        </is>
      </c>
      <c r="C100" t="inlineStr">
        <is>
          <t xml:space="preserve"> Carretera </t>
        </is>
      </c>
      <c r="D100" t="inlineStr">
        <is>
          <t xml:space="preserve"> Low </t>
        </is>
      </c>
      <c r="E100" t="n">
        <v>742.5</v>
      </c>
      <c r="F100" s="69" t="n">
        <v>3</v>
      </c>
      <c r="G100" s="69" t="n">
        <v>125</v>
      </c>
      <c r="H100" s="69" t="n">
        <v>92812.5</v>
      </c>
      <c r="I100" s="5" t="n">
        <v>1856.25</v>
      </c>
      <c r="J100" s="69" t="n">
        <v>90956.25</v>
      </c>
      <c r="K100" s="69" t="n">
        <v>89100</v>
      </c>
      <c r="L100" s="69" t="n">
        <v>1856.25</v>
      </c>
      <c r="M100" s="1" t="n">
        <v>41643</v>
      </c>
      <c r="N100" t="n">
        <v>4</v>
      </c>
      <c r="O100" t="inlineStr">
        <is>
          <t xml:space="preserve"> April </t>
        </is>
      </c>
      <c r="P100" t="n">
        <v>2014</v>
      </c>
      <c r="Q100">
        <f>IF(Financials[[#This Row],[ Units_Sold ]]&lt;&gt;INT(Financials[[#This Row],[ Units_Sold ]]),1,0)</f>
        <v/>
      </c>
      <c r="R100" s="10">
        <f>Financials[[#This Row],[ Profit ]]/Financials[[#This Row],[  Sales ]]</f>
        <v/>
      </c>
      <c r="S100" s="2">
        <f>Financials[[#This Row],[ COGS ]]/Financials[[#This Row],[  Sales ]]</f>
        <v/>
      </c>
      <c r="T100" s="3">
        <f>Financials[[#This Row],[ Discounts ]]/Financials[[#This Row],[  Sales ]]</f>
        <v/>
      </c>
      <c r="U100">
        <f>Financials[[#This Row],[  Sales ]]/Financials[[#This Row],[ Units_Sold ]]</f>
        <v/>
      </c>
      <c r="V100">
        <f>Financials[[#This Row],[ Profit ]]/Financials[[#This Row],[ Units_Sold ]]</f>
        <v/>
      </c>
      <c r="W100">
        <f>IF(Financials[[#This Row],[ Profit ]]&lt;0,1,0)</f>
        <v/>
      </c>
    </row>
    <row r="101">
      <c r="A101" t="inlineStr">
        <is>
          <t>Channel Partners</t>
        </is>
      </c>
      <c r="B101" t="inlineStr">
        <is>
          <t>Canada</t>
        </is>
      </c>
      <c r="C101" t="inlineStr">
        <is>
          <t xml:space="preserve"> Carretera </t>
        </is>
      </c>
      <c r="D101" t="inlineStr">
        <is>
          <t xml:space="preserve"> Low </t>
        </is>
      </c>
      <c r="E101" t="n">
        <v>1295</v>
      </c>
      <c r="F101" s="69" t="n">
        <v>3</v>
      </c>
      <c r="G101" s="69" t="n">
        <v>12</v>
      </c>
      <c r="H101" s="69" t="n">
        <v>15540</v>
      </c>
      <c r="I101" s="5" t="n">
        <v>310.8</v>
      </c>
      <c r="J101" s="69" t="n">
        <v>15229.2</v>
      </c>
      <c r="K101" s="69" t="n">
        <v>3885</v>
      </c>
      <c r="L101" s="69" t="n">
        <v>11344.2</v>
      </c>
      <c r="M101" s="1" t="n">
        <v>41649</v>
      </c>
      <c r="N101" t="n">
        <v>10</v>
      </c>
      <c r="O101" t="inlineStr">
        <is>
          <t xml:space="preserve"> October </t>
        </is>
      </c>
      <c r="P101" t="n">
        <v>2014</v>
      </c>
      <c r="Q101">
        <f>IF(Financials[[#This Row],[ Units_Sold ]]&lt;&gt;INT(Financials[[#This Row],[ Units_Sold ]]),1,0)</f>
        <v/>
      </c>
      <c r="R101" s="10">
        <f>Financials[[#This Row],[ Profit ]]/Financials[[#This Row],[  Sales ]]</f>
        <v/>
      </c>
      <c r="S101" s="2">
        <f>Financials[[#This Row],[ COGS ]]/Financials[[#This Row],[  Sales ]]</f>
        <v/>
      </c>
      <c r="T101" s="3">
        <f>Financials[[#This Row],[ Discounts ]]/Financials[[#This Row],[  Sales ]]</f>
        <v/>
      </c>
      <c r="U101">
        <f>Financials[[#This Row],[  Sales ]]/Financials[[#This Row],[ Units_Sold ]]</f>
        <v/>
      </c>
      <c r="V101">
        <f>Financials[[#This Row],[ Profit ]]/Financials[[#This Row],[ Units_Sold ]]</f>
        <v/>
      </c>
      <c r="W101">
        <f>IF(Financials[[#This Row],[ Profit ]]&lt;0,1,0)</f>
        <v/>
      </c>
    </row>
    <row r="102">
      <c r="A102" t="inlineStr">
        <is>
          <t>Small Business</t>
        </is>
      </c>
      <c r="B102" t="inlineStr">
        <is>
          <t>Germany</t>
        </is>
      </c>
      <c r="C102" t="inlineStr">
        <is>
          <t xml:space="preserve"> Carretera </t>
        </is>
      </c>
      <c r="D102" t="inlineStr">
        <is>
          <t xml:space="preserve"> Low </t>
        </is>
      </c>
      <c r="E102" t="n">
        <v>214</v>
      </c>
      <c r="F102" s="69" t="n">
        <v>3</v>
      </c>
      <c r="G102" s="69" t="n">
        <v>300</v>
      </c>
      <c r="H102" s="69" t="n">
        <v>64200</v>
      </c>
      <c r="I102" s="5" t="n">
        <v>1284</v>
      </c>
      <c r="J102" s="69" t="n">
        <v>62916</v>
      </c>
      <c r="K102" s="69" t="n">
        <v>53500</v>
      </c>
      <c r="L102" s="69" t="n">
        <v>9416</v>
      </c>
      <c r="M102" s="1" t="n">
        <v>41284</v>
      </c>
      <c r="N102" t="n">
        <v>10</v>
      </c>
      <c r="O102" t="inlineStr">
        <is>
          <t xml:space="preserve"> October </t>
        </is>
      </c>
      <c r="P102" t="n">
        <v>2013</v>
      </c>
      <c r="Q102">
        <f>IF(Financials[[#This Row],[ Units_Sold ]]&lt;&gt;INT(Financials[[#This Row],[ Units_Sold ]]),1,0)</f>
        <v/>
      </c>
      <c r="R102" s="10">
        <f>Financials[[#This Row],[ Profit ]]/Financials[[#This Row],[  Sales ]]</f>
        <v/>
      </c>
      <c r="S102" s="2">
        <f>Financials[[#This Row],[ COGS ]]/Financials[[#This Row],[  Sales ]]</f>
        <v/>
      </c>
      <c r="T102" s="3">
        <f>Financials[[#This Row],[ Discounts ]]/Financials[[#This Row],[  Sales ]]</f>
        <v/>
      </c>
      <c r="U102">
        <f>Financials[[#This Row],[  Sales ]]/Financials[[#This Row],[ Units_Sold ]]</f>
        <v/>
      </c>
      <c r="V102">
        <f>Financials[[#This Row],[ Profit ]]/Financials[[#This Row],[ Units_Sold ]]</f>
        <v/>
      </c>
      <c r="W102">
        <f>IF(Financials[[#This Row],[ Profit ]]&lt;0,1,0)</f>
        <v/>
      </c>
    </row>
    <row r="103">
      <c r="A103" t="inlineStr">
        <is>
          <t>Government</t>
        </is>
      </c>
      <c r="B103" t="inlineStr">
        <is>
          <t>France</t>
        </is>
      </c>
      <c r="C103" t="inlineStr">
        <is>
          <t xml:space="preserve"> Carretera </t>
        </is>
      </c>
      <c r="D103" t="inlineStr">
        <is>
          <t xml:space="preserve"> Low </t>
        </is>
      </c>
      <c r="E103" t="n">
        <v>2145</v>
      </c>
      <c r="F103" s="69" t="n">
        <v>3</v>
      </c>
      <c r="G103" s="69" t="n">
        <v>7</v>
      </c>
      <c r="H103" s="69" t="n">
        <v>15015</v>
      </c>
      <c r="I103" s="5" t="n">
        <v>300.3</v>
      </c>
      <c r="J103" s="69" t="n">
        <v>14714.7</v>
      </c>
      <c r="K103" s="69" t="n">
        <v>10725</v>
      </c>
      <c r="L103" s="69" t="n">
        <v>3989.7</v>
      </c>
      <c r="M103" s="1" t="n">
        <v>41285</v>
      </c>
      <c r="N103" t="n">
        <v>11</v>
      </c>
      <c r="O103" t="inlineStr">
        <is>
          <t xml:space="preserve"> November </t>
        </is>
      </c>
      <c r="P103" t="n">
        <v>2013</v>
      </c>
      <c r="Q103">
        <f>IF(Financials[[#This Row],[ Units_Sold ]]&lt;&gt;INT(Financials[[#This Row],[ Units_Sold ]]),1,0)</f>
        <v/>
      </c>
      <c r="R103" s="10">
        <f>Financials[[#This Row],[ Profit ]]/Financials[[#This Row],[  Sales ]]</f>
        <v/>
      </c>
      <c r="S103" s="2">
        <f>Financials[[#This Row],[ COGS ]]/Financials[[#This Row],[  Sales ]]</f>
        <v/>
      </c>
      <c r="T103" s="3">
        <f>Financials[[#This Row],[ Discounts ]]/Financials[[#This Row],[  Sales ]]</f>
        <v/>
      </c>
      <c r="U103">
        <f>Financials[[#This Row],[  Sales ]]/Financials[[#This Row],[ Units_Sold ]]</f>
        <v/>
      </c>
      <c r="V103">
        <f>Financials[[#This Row],[ Profit ]]/Financials[[#This Row],[ Units_Sold ]]</f>
        <v/>
      </c>
      <c r="W103">
        <f>IF(Financials[[#This Row],[ Profit ]]&lt;0,1,0)</f>
        <v/>
      </c>
    </row>
    <row r="104">
      <c r="A104" t="inlineStr">
        <is>
          <t>Government</t>
        </is>
      </c>
      <c r="B104" t="inlineStr">
        <is>
          <t>Canada</t>
        </is>
      </c>
      <c r="C104" t="inlineStr">
        <is>
          <t xml:space="preserve"> Carretera </t>
        </is>
      </c>
      <c r="D104" t="inlineStr">
        <is>
          <t xml:space="preserve"> Low </t>
        </is>
      </c>
      <c r="E104" t="n">
        <v>2852</v>
      </c>
      <c r="F104" s="69" t="n">
        <v>3</v>
      </c>
      <c r="G104" s="69" t="n">
        <v>350</v>
      </c>
      <c r="H104" s="69" t="n">
        <v>998200</v>
      </c>
      <c r="I104" s="5" t="n">
        <v>19964</v>
      </c>
      <c r="J104" s="69" t="n">
        <v>978236</v>
      </c>
      <c r="K104" s="69" t="n">
        <v>741520</v>
      </c>
      <c r="L104" s="69" t="n">
        <v>236716</v>
      </c>
      <c r="M104" s="1" t="n">
        <v>41651</v>
      </c>
      <c r="N104" t="n">
        <v>12</v>
      </c>
      <c r="O104" t="inlineStr">
        <is>
          <t xml:space="preserve"> December </t>
        </is>
      </c>
      <c r="P104" t="n">
        <v>2014</v>
      </c>
      <c r="Q104">
        <f>IF(Financials[[#This Row],[ Units_Sold ]]&lt;&gt;INT(Financials[[#This Row],[ Units_Sold ]]),1,0)</f>
        <v/>
      </c>
      <c r="R104" s="10">
        <f>Financials[[#This Row],[ Profit ]]/Financials[[#This Row],[  Sales ]]</f>
        <v/>
      </c>
      <c r="S104" s="2">
        <f>Financials[[#This Row],[ COGS ]]/Financials[[#This Row],[  Sales ]]</f>
        <v/>
      </c>
      <c r="T104" s="3">
        <f>Financials[[#This Row],[ Discounts ]]/Financials[[#This Row],[  Sales ]]</f>
        <v/>
      </c>
      <c r="U104">
        <f>Financials[[#This Row],[  Sales ]]/Financials[[#This Row],[ Units_Sold ]]</f>
        <v/>
      </c>
      <c r="V104">
        <f>Financials[[#This Row],[ Profit ]]/Financials[[#This Row],[ Units_Sold ]]</f>
        <v/>
      </c>
      <c r="W104">
        <f>IF(Financials[[#This Row],[ Profit ]]&lt;0,1,0)</f>
        <v/>
      </c>
    </row>
    <row r="105">
      <c r="A105" t="inlineStr">
        <is>
          <t>Channel Partners</t>
        </is>
      </c>
      <c r="B105" t="inlineStr">
        <is>
          <t>United States of America</t>
        </is>
      </c>
      <c r="C105" t="inlineStr">
        <is>
          <t xml:space="preserve"> Montana </t>
        </is>
      </c>
      <c r="D105" t="inlineStr">
        <is>
          <t xml:space="preserve"> Low </t>
        </is>
      </c>
      <c r="E105" t="n">
        <v>1142</v>
      </c>
      <c r="F105" s="69" t="n">
        <v>5</v>
      </c>
      <c r="G105" s="69" t="n">
        <v>12</v>
      </c>
      <c r="H105" s="69" t="n">
        <v>13704</v>
      </c>
      <c r="I105" s="5" t="n">
        <v>274.08</v>
      </c>
      <c r="J105" s="69" t="n">
        <v>13429.92</v>
      </c>
      <c r="K105" s="69" t="n">
        <v>3426</v>
      </c>
      <c r="L105" s="69" t="n">
        <v>10003.92</v>
      </c>
      <c r="M105" s="1" t="n">
        <v>41645</v>
      </c>
      <c r="N105" t="n">
        <v>6</v>
      </c>
      <c r="O105" t="inlineStr">
        <is>
          <t xml:space="preserve"> June </t>
        </is>
      </c>
      <c r="P105" t="n">
        <v>2014</v>
      </c>
      <c r="Q105">
        <f>IF(Financials[[#This Row],[ Units_Sold ]]&lt;&gt;INT(Financials[[#This Row],[ Units_Sold ]]),1,0)</f>
        <v/>
      </c>
      <c r="R105" s="10">
        <f>Financials[[#This Row],[ Profit ]]/Financials[[#This Row],[  Sales ]]</f>
        <v/>
      </c>
      <c r="S105" s="2">
        <f>Financials[[#This Row],[ COGS ]]/Financials[[#This Row],[  Sales ]]</f>
        <v/>
      </c>
      <c r="T105" s="3">
        <f>Financials[[#This Row],[ Discounts ]]/Financials[[#This Row],[  Sales ]]</f>
        <v/>
      </c>
      <c r="U105">
        <f>Financials[[#This Row],[  Sales ]]/Financials[[#This Row],[ Units_Sold ]]</f>
        <v/>
      </c>
      <c r="V105">
        <f>Financials[[#This Row],[ Profit ]]/Financials[[#This Row],[ Units_Sold ]]</f>
        <v/>
      </c>
      <c r="W105">
        <f>IF(Financials[[#This Row],[ Profit ]]&lt;0,1,0)</f>
        <v/>
      </c>
    </row>
    <row r="106">
      <c r="A106" t="inlineStr">
        <is>
          <t>Government</t>
        </is>
      </c>
      <c r="B106" t="inlineStr">
        <is>
          <t>United States of America</t>
        </is>
      </c>
      <c r="C106" t="inlineStr">
        <is>
          <t xml:space="preserve"> Montana </t>
        </is>
      </c>
      <c r="D106" t="inlineStr">
        <is>
          <t xml:space="preserve"> Low </t>
        </is>
      </c>
      <c r="E106" t="n">
        <v>1566</v>
      </c>
      <c r="F106" s="69" t="n">
        <v>5</v>
      </c>
      <c r="G106" s="69" t="n">
        <v>20</v>
      </c>
      <c r="H106" s="69" t="n">
        <v>31320</v>
      </c>
      <c r="I106" s="5" t="n">
        <v>626.4</v>
      </c>
      <c r="J106" s="69" t="n">
        <v>30693.6</v>
      </c>
      <c r="K106" s="69" t="n">
        <v>15660</v>
      </c>
      <c r="L106" s="69" t="n">
        <v>15033.6</v>
      </c>
      <c r="M106" s="1" t="n">
        <v>41649</v>
      </c>
      <c r="N106" t="n">
        <v>10</v>
      </c>
      <c r="O106" t="inlineStr">
        <is>
          <t xml:space="preserve"> October </t>
        </is>
      </c>
      <c r="P106" t="n">
        <v>2014</v>
      </c>
      <c r="Q106">
        <f>IF(Financials[[#This Row],[ Units_Sold ]]&lt;&gt;INT(Financials[[#This Row],[ Units_Sold ]]),1,0)</f>
        <v/>
      </c>
      <c r="R106" s="10">
        <f>Financials[[#This Row],[ Profit ]]/Financials[[#This Row],[  Sales ]]</f>
        <v/>
      </c>
      <c r="S106" s="2">
        <f>Financials[[#This Row],[ COGS ]]/Financials[[#This Row],[  Sales ]]</f>
        <v/>
      </c>
      <c r="T106" s="3">
        <f>Financials[[#This Row],[ Discounts ]]/Financials[[#This Row],[  Sales ]]</f>
        <v/>
      </c>
      <c r="U106">
        <f>Financials[[#This Row],[  Sales ]]/Financials[[#This Row],[ Units_Sold ]]</f>
        <v/>
      </c>
      <c r="V106">
        <f>Financials[[#This Row],[ Profit ]]/Financials[[#This Row],[ Units_Sold ]]</f>
        <v/>
      </c>
      <c r="W106">
        <f>IF(Financials[[#This Row],[ Profit ]]&lt;0,1,0)</f>
        <v/>
      </c>
    </row>
    <row r="107">
      <c r="A107" t="inlineStr">
        <is>
          <t>Channel Partners</t>
        </is>
      </c>
      <c r="B107" t="inlineStr">
        <is>
          <t>Mexico</t>
        </is>
      </c>
      <c r="C107" t="inlineStr">
        <is>
          <t xml:space="preserve"> Montana </t>
        </is>
      </c>
      <c r="D107" t="inlineStr">
        <is>
          <t xml:space="preserve"> Low </t>
        </is>
      </c>
      <c r="E107" t="n">
        <v>690</v>
      </c>
      <c r="F107" s="69" t="n">
        <v>5</v>
      </c>
      <c r="G107" s="69" t="n">
        <v>12</v>
      </c>
      <c r="H107" s="69" t="n">
        <v>8280</v>
      </c>
      <c r="I107" s="5" t="n">
        <v>165.6</v>
      </c>
      <c r="J107" s="69" t="n">
        <v>8114.4</v>
      </c>
      <c r="K107" s="69" t="n">
        <v>2070</v>
      </c>
      <c r="L107" s="69" t="n">
        <v>6044.4</v>
      </c>
      <c r="M107" s="1" t="n">
        <v>41650</v>
      </c>
      <c r="N107" t="n">
        <v>11</v>
      </c>
      <c r="O107" t="inlineStr">
        <is>
          <t xml:space="preserve"> November </t>
        </is>
      </c>
      <c r="P107" t="n">
        <v>2014</v>
      </c>
      <c r="Q107">
        <f>IF(Financials[[#This Row],[ Units_Sold ]]&lt;&gt;INT(Financials[[#This Row],[ Units_Sold ]]),1,0)</f>
        <v/>
      </c>
      <c r="R107" s="10">
        <f>Financials[[#This Row],[ Profit ]]/Financials[[#This Row],[  Sales ]]</f>
        <v/>
      </c>
      <c r="S107" s="2">
        <f>Financials[[#This Row],[ COGS ]]/Financials[[#This Row],[  Sales ]]</f>
        <v/>
      </c>
      <c r="T107" s="3">
        <f>Financials[[#This Row],[ Discounts ]]/Financials[[#This Row],[  Sales ]]</f>
        <v/>
      </c>
      <c r="U107">
        <f>Financials[[#This Row],[  Sales ]]/Financials[[#This Row],[ Units_Sold ]]</f>
        <v/>
      </c>
      <c r="V107">
        <f>Financials[[#This Row],[ Profit ]]/Financials[[#This Row],[ Units_Sold ]]</f>
        <v/>
      </c>
      <c r="W107">
        <f>IF(Financials[[#This Row],[ Profit ]]&lt;0,1,0)</f>
        <v/>
      </c>
    </row>
    <row r="108">
      <c r="A108" t="inlineStr">
        <is>
          <t>Enterprise</t>
        </is>
      </c>
      <c r="B108" t="inlineStr">
        <is>
          <t>Mexico</t>
        </is>
      </c>
      <c r="C108" t="inlineStr">
        <is>
          <t xml:space="preserve"> Montana </t>
        </is>
      </c>
      <c r="D108" t="inlineStr">
        <is>
          <t xml:space="preserve"> Low </t>
        </is>
      </c>
      <c r="E108" t="n">
        <v>1660</v>
      </c>
      <c r="F108" s="69" t="n">
        <v>5</v>
      </c>
      <c r="G108" s="69" t="n">
        <v>125</v>
      </c>
      <c r="H108" s="69" t="n">
        <v>207500</v>
      </c>
      <c r="I108" s="5" t="n">
        <v>4150</v>
      </c>
      <c r="J108" s="69" t="n">
        <v>203350</v>
      </c>
      <c r="K108" s="69" t="n">
        <v>199200</v>
      </c>
      <c r="L108" s="69" t="n">
        <v>4150</v>
      </c>
      <c r="M108" s="1" t="n">
        <v>41285</v>
      </c>
      <c r="N108" t="n">
        <v>11</v>
      </c>
      <c r="O108" t="inlineStr">
        <is>
          <t xml:space="preserve"> November </t>
        </is>
      </c>
      <c r="P108" t="n">
        <v>2013</v>
      </c>
      <c r="Q108">
        <f>IF(Financials[[#This Row],[ Units_Sold ]]&lt;&gt;INT(Financials[[#This Row],[ Units_Sold ]]),1,0)</f>
        <v/>
      </c>
      <c r="R108" s="10">
        <f>Financials[[#This Row],[ Profit ]]/Financials[[#This Row],[  Sales ]]</f>
        <v/>
      </c>
      <c r="S108" s="2">
        <f>Financials[[#This Row],[ COGS ]]/Financials[[#This Row],[  Sales ]]</f>
        <v/>
      </c>
      <c r="T108" s="3">
        <f>Financials[[#This Row],[ Discounts ]]/Financials[[#This Row],[  Sales ]]</f>
        <v/>
      </c>
      <c r="U108">
        <f>Financials[[#This Row],[  Sales ]]/Financials[[#This Row],[ Units_Sold ]]</f>
        <v/>
      </c>
      <c r="V108">
        <f>Financials[[#This Row],[ Profit ]]/Financials[[#This Row],[ Units_Sold ]]</f>
        <v/>
      </c>
      <c r="W108">
        <f>IF(Financials[[#This Row],[ Profit ]]&lt;0,1,0)</f>
        <v/>
      </c>
    </row>
    <row r="109">
      <c r="A109" t="inlineStr">
        <is>
          <t>Midmarket</t>
        </is>
      </c>
      <c r="B109" t="inlineStr">
        <is>
          <t>Canada</t>
        </is>
      </c>
      <c r="C109" t="inlineStr">
        <is>
          <t xml:space="preserve"> Paseo </t>
        </is>
      </c>
      <c r="D109" t="inlineStr">
        <is>
          <t xml:space="preserve"> Low </t>
        </is>
      </c>
      <c r="E109" t="n">
        <v>2363</v>
      </c>
      <c r="F109" s="69" t="n">
        <v>10</v>
      </c>
      <c r="G109" s="69" t="n">
        <v>15</v>
      </c>
      <c r="H109" s="69" t="n">
        <v>35445</v>
      </c>
      <c r="I109" s="5" t="n">
        <v>708.9</v>
      </c>
      <c r="J109" s="69" t="n">
        <v>34736.1</v>
      </c>
      <c r="K109" s="69" t="n">
        <v>23630</v>
      </c>
      <c r="L109" s="69" t="n">
        <v>11106.1</v>
      </c>
      <c r="M109" s="1" t="n">
        <v>41641</v>
      </c>
      <c r="N109" t="n">
        <v>2</v>
      </c>
      <c r="O109" t="inlineStr">
        <is>
          <t xml:space="preserve"> February </t>
        </is>
      </c>
      <c r="P109" t="n">
        <v>2014</v>
      </c>
      <c r="Q109">
        <f>IF(Financials[[#This Row],[ Units_Sold ]]&lt;&gt;INT(Financials[[#This Row],[ Units_Sold ]]),1,0)</f>
        <v/>
      </c>
      <c r="R109" s="10">
        <f>Financials[[#This Row],[ Profit ]]/Financials[[#This Row],[  Sales ]]</f>
        <v/>
      </c>
      <c r="S109" s="2">
        <f>Financials[[#This Row],[ COGS ]]/Financials[[#This Row],[  Sales ]]</f>
        <v/>
      </c>
      <c r="T109" s="3">
        <f>Financials[[#This Row],[ Discounts ]]/Financials[[#This Row],[  Sales ]]</f>
        <v/>
      </c>
      <c r="U109">
        <f>Financials[[#This Row],[  Sales ]]/Financials[[#This Row],[ Units_Sold ]]</f>
        <v/>
      </c>
      <c r="V109">
        <f>Financials[[#This Row],[ Profit ]]/Financials[[#This Row],[ Units_Sold ]]</f>
        <v/>
      </c>
      <c r="W109">
        <f>IF(Financials[[#This Row],[ Profit ]]&lt;0,1,0)</f>
        <v/>
      </c>
    </row>
    <row r="110">
      <c r="A110" t="inlineStr">
        <is>
          <t>Small Business</t>
        </is>
      </c>
      <c r="B110" t="inlineStr">
        <is>
          <t>France</t>
        </is>
      </c>
      <c r="C110" t="inlineStr">
        <is>
          <t xml:space="preserve"> Paseo </t>
        </is>
      </c>
      <c r="D110" t="inlineStr">
        <is>
          <t xml:space="preserve"> Low </t>
        </is>
      </c>
      <c r="E110" t="n">
        <v>918</v>
      </c>
      <c r="F110" s="69" t="n">
        <v>10</v>
      </c>
      <c r="G110" s="69" t="n">
        <v>300</v>
      </c>
      <c r="H110" s="69" t="n">
        <v>275400</v>
      </c>
      <c r="I110" s="5" t="n">
        <v>5508</v>
      </c>
      <c r="J110" s="69" t="n">
        <v>269892</v>
      </c>
      <c r="K110" s="69" t="n">
        <v>229500</v>
      </c>
      <c r="L110" s="69" t="n">
        <v>40392</v>
      </c>
      <c r="M110" s="1" t="n">
        <v>41644</v>
      </c>
      <c r="N110" t="n">
        <v>5</v>
      </c>
      <c r="O110" t="inlineStr">
        <is>
          <t xml:space="preserve"> May </t>
        </is>
      </c>
      <c r="P110" t="n">
        <v>2014</v>
      </c>
      <c r="Q110">
        <f>IF(Financials[[#This Row],[ Units_Sold ]]&lt;&gt;INT(Financials[[#This Row],[ Units_Sold ]]),1,0)</f>
        <v/>
      </c>
      <c r="R110" s="10">
        <f>Financials[[#This Row],[ Profit ]]/Financials[[#This Row],[  Sales ]]</f>
        <v/>
      </c>
      <c r="S110" s="2">
        <f>Financials[[#This Row],[ COGS ]]/Financials[[#This Row],[  Sales ]]</f>
        <v/>
      </c>
      <c r="T110" s="3">
        <f>Financials[[#This Row],[ Discounts ]]/Financials[[#This Row],[  Sales ]]</f>
        <v/>
      </c>
      <c r="U110">
        <f>Financials[[#This Row],[  Sales ]]/Financials[[#This Row],[ Units_Sold ]]</f>
        <v/>
      </c>
      <c r="V110">
        <f>Financials[[#This Row],[ Profit ]]/Financials[[#This Row],[ Units_Sold ]]</f>
        <v/>
      </c>
      <c r="W110">
        <f>IF(Financials[[#This Row],[ Profit ]]&lt;0,1,0)</f>
        <v/>
      </c>
    </row>
    <row r="111">
      <c r="A111" t="inlineStr">
        <is>
          <t>Small Business</t>
        </is>
      </c>
      <c r="B111" t="inlineStr">
        <is>
          <t>Germany</t>
        </is>
      </c>
      <c r="C111" t="inlineStr">
        <is>
          <t xml:space="preserve"> Paseo </t>
        </is>
      </c>
      <c r="D111" t="inlineStr">
        <is>
          <t xml:space="preserve"> Low </t>
        </is>
      </c>
      <c r="E111" t="n">
        <v>1728</v>
      </c>
      <c r="F111" s="69" t="n">
        <v>10</v>
      </c>
      <c r="G111" s="69" t="n">
        <v>300</v>
      </c>
      <c r="H111" s="69" t="n">
        <v>518400</v>
      </c>
      <c r="I111" s="5" t="n">
        <v>10368</v>
      </c>
      <c r="J111" s="69" t="n">
        <v>508032</v>
      </c>
      <c r="K111" s="69" t="n">
        <v>432000</v>
      </c>
      <c r="L111" s="69" t="n">
        <v>76032</v>
      </c>
      <c r="M111" s="1" t="n">
        <v>41644</v>
      </c>
      <c r="N111" t="n">
        <v>5</v>
      </c>
      <c r="O111" t="inlineStr">
        <is>
          <t xml:space="preserve"> May </t>
        </is>
      </c>
      <c r="P111" t="n">
        <v>2014</v>
      </c>
      <c r="Q111">
        <f>IF(Financials[[#This Row],[ Units_Sold ]]&lt;&gt;INT(Financials[[#This Row],[ Units_Sold ]]),1,0)</f>
        <v/>
      </c>
      <c r="R111" s="10">
        <f>Financials[[#This Row],[ Profit ]]/Financials[[#This Row],[  Sales ]]</f>
        <v/>
      </c>
      <c r="S111" s="2">
        <f>Financials[[#This Row],[ COGS ]]/Financials[[#This Row],[  Sales ]]</f>
        <v/>
      </c>
      <c r="T111" s="3">
        <f>Financials[[#This Row],[ Discounts ]]/Financials[[#This Row],[  Sales ]]</f>
        <v/>
      </c>
      <c r="U111">
        <f>Financials[[#This Row],[  Sales ]]/Financials[[#This Row],[ Units_Sold ]]</f>
        <v/>
      </c>
      <c r="V111">
        <f>Financials[[#This Row],[ Profit ]]/Financials[[#This Row],[ Units_Sold ]]</f>
        <v/>
      </c>
      <c r="W111">
        <f>IF(Financials[[#This Row],[ Profit ]]&lt;0,1,0)</f>
        <v/>
      </c>
    </row>
    <row r="112">
      <c r="A112" t="inlineStr">
        <is>
          <t>Channel Partners</t>
        </is>
      </c>
      <c r="B112" t="inlineStr">
        <is>
          <t>United States of America</t>
        </is>
      </c>
      <c r="C112" t="inlineStr">
        <is>
          <t xml:space="preserve"> Paseo </t>
        </is>
      </c>
      <c r="D112" t="inlineStr">
        <is>
          <t xml:space="preserve"> Low </t>
        </is>
      </c>
      <c r="E112" t="n">
        <v>1142</v>
      </c>
      <c r="F112" s="69" t="n">
        <v>10</v>
      </c>
      <c r="G112" s="69" t="n">
        <v>12</v>
      </c>
      <c r="H112" s="69" t="n">
        <v>13704</v>
      </c>
      <c r="I112" s="5" t="n">
        <v>274.08</v>
      </c>
      <c r="J112" s="69" t="n">
        <v>13429.92</v>
      </c>
      <c r="K112" s="69" t="n">
        <v>3426</v>
      </c>
      <c r="L112" s="69" t="n">
        <v>10003.92</v>
      </c>
      <c r="M112" s="1" t="n">
        <v>41645</v>
      </c>
      <c r="N112" t="n">
        <v>6</v>
      </c>
      <c r="O112" t="inlineStr">
        <is>
          <t xml:space="preserve"> June </t>
        </is>
      </c>
      <c r="P112" t="n">
        <v>2014</v>
      </c>
      <c r="Q112">
        <f>IF(Financials[[#This Row],[ Units_Sold ]]&lt;&gt;INT(Financials[[#This Row],[ Units_Sold ]]),1,0)</f>
        <v/>
      </c>
      <c r="R112" s="10">
        <f>Financials[[#This Row],[ Profit ]]/Financials[[#This Row],[  Sales ]]</f>
        <v/>
      </c>
      <c r="S112" s="2">
        <f>Financials[[#This Row],[ COGS ]]/Financials[[#This Row],[  Sales ]]</f>
        <v/>
      </c>
      <c r="T112" s="3">
        <f>Financials[[#This Row],[ Discounts ]]/Financials[[#This Row],[  Sales ]]</f>
        <v/>
      </c>
      <c r="U112">
        <f>Financials[[#This Row],[  Sales ]]/Financials[[#This Row],[ Units_Sold ]]</f>
        <v/>
      </c>
      <c r="V112">
        <f>Financials[[#This Row],[ Profit ]]/Financials[[#This Row],[ Units_Sold ]]</f>
        <v/>
      </c>
      <c r="W112">
        <f>IF(Financials[[#This Row],[ Profit ]]&lt;0,1,0)</f>
        <v/>
      </c>
    </row>
    <row r="113">
      <c r="A113" t="inlineStr">
        <is>
          <t>Enterprise</t>
        </is>
      </c>
      <c r="B113" t="inlineStr">
        <is>
          <t>Mexico</t>
        </is>
      </c>
      <c r="C113" t="inlineStr">
        <is>
          <t xml:space="preserve"> Paseo </t>
        </is>
      </c>
      <c r="D113" t="inlineStr">
        <is>
          <t xml:space="preserve"> Low </t>
        </is>
      </c>
      <c r="E113" t="n">
        <v>662</v>
      </c>
      <c r="F113" s="69" t="n">
        <v>10</v>
      </c>
      <c r="G113" s="69" t="n">
        <v>125</v>
      </c>
      <c r="H113" s="69" t="n">
        <v>82750</v>
      </c>
      <c r="I113" s="5" t="n">
        <v>1655</v>
      </c>
      <c r="J113" s="69" t="n">
        <v>81095</v>
      </c>
      <c r="K113" s="69" t="n">
        <v>79440</v>
      </c>
      <c r="L113" s="69" t="n">
        <v>1655</v>
      </c>
      <c r="M113" s="1" t="n">
        <v>41645</v>
      </c>
      <c r="N113" t="n">
        <v>6</v>
      </c>
      <c r="O113" t="inlineStr">
        <is>
          <t xml:space="preserve"> June </t>
        </is>
      </c>
      <c r="P113" t="n">
        <v>2014</v>
      </c>
      <c r="Q113">
        <f>IF(Financials[[#This Row],[ Units_Sold ]]&lt;&gt;INT(Financials[[#This Row],[ Units_Sold ]]),1,0)</f>
        <v/>
      </c>
      <c r="R113" s="10">
        <f>Financials[[#This Row],[ Profit ]]/Financials[[#This Row],[  Sales ]]</f>
        <v/>
      </c>
      <c r="S113" s="2">
        <f>Financials[[#This Row],[ COGS ]]/Financials[[#This Row],[  Sales ]]</f>
        <v/>
      </c>
      <c r="T113" s="3">
        <f>Financials[[#This Row],[ Discounts ]]/Financials[[#This Row],[  Sales ]]</f>
        <v/>
      </c>
      <c r="U113">
        <f>Financials[[#This Row],[  Sales ]]/Financials[[#This Row],[ Units_Sold ]]</f>
        <v/>
      </c>
      <c r="V113">
        <f>Financials[[#This Row],[ Profit ]]/Financials[[#This Row],[ Units_Sold ]]</f>
        <v/>
      </c>
      <c r="W113">
        <f>IF(Financials[[#This Row],[ Profit ]]&lt;0,1,0)</f>
        <v/>
      </c>
    </row>
    <row r="114">
      <c r="A114" t="inlineStr">
        <is>
          <t>Channel Partners</t>
        </is>
      </c>
      <c r="B114" t="inlineStr">
        <is>
          <t>Canada</t>
        </is>
      </c>
      <c r="C114" t="inlineStr">
        <is>
          <t xml:space="preserve"> Paseo </t>
        </is>
      </c>
      <c r="D114" t="inlineStr">
        <is>
          <t xml:space="preserve"> Low </t>
        </is>
      </c>
      <c r="E114" t="n">
        <v>1295</v>
      </c>
      <c r="F114" s="69" t="n">
        <v>10</v>
      </c>
      <c r="G114" s="69" t="n">
        <v>12</v>
      </c>
      <c r="H114" s="69" t="n">
        <v>15540</v>
      </c>
      <c r="I114" s="5" t="n">
        <v>310.8</v>
      </c>
      <c r="J114" s="69" t="n">
        <v>15229.2</v>
      </c>
      <c r="K114" s="69" t="n">
        <v>3885</v>
      </c>
      <c r="L114" s="69" t="n">
        <v>11344.2</v>
      </c>
      <c r="M114" s="1" t="n">
        <v>41649</v>
      </c>
      <c r="N114" t="n">
        <v>10</v>
      </c>
      <c r="O114" t="inlineStr">
        <is>
          <t xml:space="preserve"> October </t>
        </is>
      </c>
      <c r="P114" t="n">
        <v>2014</v>
      </c>
      <c r="Q114">
        <f>IF(Financials[[#This Row],[ Units_Sold ]]&lt;&gt;INT(Financials[[#This Row],[ Units_Sold ]]),1,0)</f>
        <v/>
      </c>
      <c r="R114" s="10">
        <f>Financials[[#This Row],[ Profit ]]/Financials[[#This Row],[  Sales ]]</f>
        <v/>
      </c>
      <c r="S114" s="2">
        <f>Financials[[#This Row],[ COGS ]]/Financials[[#This Row],[  Sales ]]</f>
        <v/>
      </c>
      <c r="T114" s="3">
        <f>Financials[[#This Row],[ Discounts ]]/Financials[[#This Row],[  Sales ]]</f>
        <v/>
      </c>
      <c r="U114">
        <f>Financials[[#This Row],[  Sales ]]/Financials[[#This Row],[ Units_Sold ]]</f>
        <v/>
      </c>
      <c r="V114">
        <f>Financials[[#This Row],[ Profit ]]/Financials[[#This Row],[ Units_Sold ]]</f>
        <v/>
      </c>
      <c r="W114">
        <f>IF(Financials[[#This Row],[ Profit ]]&lt;0,1,0)</f>
        <v/>
      </c>
    </row>
    <row r="115">
      <c r="A115" t="inlineStr">
        <is>
          <t>Enterprise</t>
        </is>
      </c>
      <c r="B115" t="inlineStr">
        <is>
          <t>Germany</t>
        </is>
      </c>
      <c r="C115" t="inlineStr">
        <is>
          <t xml:space="preserve"> Paseo </t>
        </is>
      </c>
      <c r="D115" t="inlineStr">
        <is>
          <t xml:space="preserve"> Low </t>
        </is>
      </c>
      <c r="E115" t="n">
        <v>809</v>
      </c>
      <c r="F115" s="69" t="n">
        <v>10</v>
      </c>
      <c r="G115" s="69" t="n">
        <v>125</v>
      </c>
      <c r="H115" s="69" t="n">
        <v>101125</v>
      </c>
      <c r="I115" s="5" t="n">
        <v>2022.5</v>
      </c>
      <c r="J115" s="69" t="n">
        <v>99102.5</v>
      </c>
      <c r="K115" s="69" t="n">
        <v>97080</v>
      </c>
      <c r="L115" s="69" t="n">
        <v>2022.5</v>
      </c>
      <c r="M115" s="1" t="n">
        <v>41284</v>
      </c>
      <c r="N115" t="n">
        <v>10</v>
      </c>
      <c r="O115" t="inlineStr">
        <is>
          <t xml:space="preserve"> October </t>
        </is>
      </c>
      <c r="P115" t="n">
        <v>2013</v>
      </c>
      <c r="Q115">
        <f>IF(Financials[[#This Row],[ Units_Sold ]]&lt;&gt;INT(Financials[[#This Row],[ Units_Sold ]]),1,0)</f>
        <v/>
      </c>
      <c r="R115" s="10">
        <f>Financials[[#This Row],[ Profit ]]/Financials[[#This Row],[  Sales ]]</f>
        <v/>
      </c>
      <c r="S115" s="2">
        <f>Financials[[#This Row],[ COGS ]]/Financials[[#This Row],[  Sales ]]</f>
        <v/>
      </c>
      <c r="T115" s="3">
        <f>Financials[[#This Row],[ Discounts ]]/Financials[[#This Row],[  Sales ]]</f>
        <v/>
      </c>
      <c r="U115">
        <f>Financials[[#This Row],[  Sales ]]/Financials[[#This Row],[ Units_Sold ]]</f>
        <v/>
      </c>
      <c r="V115">
        <f>Financials[[#This Row],[ Profit ]]/Financials[[#This Row],[ Units_Sold ]]</f>
        <v/>
      </c>
      <c r="W115">
        <f>IF(Financials[[#This Row],[ Profit ]]&lt;0,1,0)</f>
        <v/>
      </c>
    </row>
    <row r="116">
      <c r="A116" t="inlineStr">
        <is>
          <t>Enterprise</t>
        </is>
      </c>
      <c r="B116" t="inlineStr">
        <is>
          <t>Mexico</t>
        </is>
      </c>
      <c r="C116" t="inlineStr">
        <is>
          <t xml:space="preserve"> Paseo </t>
        </is>
      </c>
      <c r="D116" t="inlineStr">
        <is>
          <t xml:space="preserve"> Low </t>
        </is>
      </c>
      <c r="E116" t="n">
        <v>2145</v>
      </c>
      <c r="F116" s="69" t="n">
        <v>10</v>
      </c>
      <c r="G116" s="69" t="n">
        <v>125</v>
      </c>
      <c r="H116" s="69" t="n">
        <v>268125</v>
      </c>
      <c r="I116" s="5" t="n">
        <v>5362.5</v>
      </c>
      <c r="J116" s="69" t="n">
        <v>262762.5</v>
      </c>
      <c r="K116" s="69" t="n">
        <v>257400</v>
      </c>
      <c r="L116" s="69" t="n">
        <v>5362.5</v>
      </c>
      <c r="M116" s="1" t="n">
        <v>41284</v>
      </c>
      <c r="N116" t="n">
        <v>10</v>
      </c>
      <c r="O116" t="inlineStr">
        <is>
          <t xml:space="preserve"> October </t>
        </is>
      </c>
      <c r="P116" t="n">
        <v>2013</v>
      </c>
      <c r="Q116">
        <f>IF(Financials[[#This Row],[ Units_Sold ]]&lt;&gt;INT(Financials[[#This Row],[ Units_Sold ]]),1,0)</f>
        <v/>
      </c>
      <c r="R116" s="10">
        <f>Financials[[#This Row],[ Profit ]]/Financials[[#This Row],[  Sales ]]</f>
        <v/>
      </c>
      <c r="S116" s="2">
        <f>Financials[[#This Row],[ COGS ]]/Financials[[#This Row],[  Sales ]]</f>
        <v/>
      </c>
      <c r="T116" s="3">
        <f>Financials[[#This Row],[ Discounts ]]/Financials[[#This Row],[  Sales ]]</f>
        <v/>
      </c>
      <c r="U116">
        <f>Financials[[#This Row],[  Sales ]]/Financials[[#This Row],[ Units_Sold ]]</f>
        <v/>
      </c>
      <c r="V116">
        <f>Financials[[#This Row],[ Profit ]]/Financials[[#This Row],[ Units_Sold ]]</f>
        <v/>
      </c>
      <c r="W116">
        <f>IF(Financials[[#This Row],[ Profit ]]&lt;0,1,0)</f>
        <v/>
      </c>
    </row>
    <row r="117">
      <c r="A117" t="inlineStr">
        <is>
          <t>Channel Partners</t>
        </is>
      </c>
      <c r="B117" t="inlineStr">
        <is>
          <t>France</t>
        </is>
      </c>
      <c r="C117" t="inlineStr">
        <is>
          <t xml:space="preserve"> Paseo </t>
        </is>
      </c>
      <c r="D117" t="inlineStr">
        <is>
          <t xml:space="preserve"> Low </t>
        </is>
      </c>
      <c r="E117" t="n">
        <v>1785</v>
      </c>
      <c r="F117" s="69" t="n">
        <v>10</v>
      </c>
      <c r="G117" s="69" t="n">
        <v>12</v>
      </c>
      <c r="H117" s="69" t="n">
        <v>21420</v>
      </c>
      <c r="I117" s="5" t="n">
        <v>428.4</v>
      </c>
      <c r="J117" s="69" t="n">
        <v>20991.6</v>
      </c>
      <c r="K117" s="69" t="n">
        <v>5355</v>
      </c>
      <c r="L117" s="69" t="n">
        <v>15636.6</v>
      </c>
      <c r="M117" s="1" t="n">
        <v>41285</v>
      </c>
      <c r="N117" t="n">
        <v>11</v>
      </c>
      <c r="O117" t="inlineStr">
        <is>
          <t xml:space="preserve"> November </t>
        </is>
      </c>
      <c r="P117" t="n">
        <v>2013</v>
      </c>
      <c r="Q117">
        <f>IF(Financials[[#This Row],[ Units_Sold ]]&lt;&gt;INT(Financials[[#This Row],[ Units_Sold ]]),1,0)</f>
        <v/>
      </c>
      <c r="R117" s="10">
        <f>Financials[[#This Row],[ Profit ]]/Financials[[#This Row],[  Sales ]]</f>
        <v/>
      </c>
      <c r="S117" s="2">
        <f>Financials[[#This Row],[ COGS ]]/Financials[[#This Row],[  Sales ]]</f>
        <v/>
      </c>
      <c r="T117" s="3">
        <f>Financials[[#This Row],[ Discounts ]]/Financials[[#This Row],[  Sales ]]</f>
        <v/>
      </c>
      <c r="U117">
        <f>Financials[[#This Row],[  Sales ]]/Financials[[#This Row],[ Units_Sold ]]</f>
        <v/>
      </c>
      <c r="V117">
        <f>Financials[[#This Row],[ Profit ]]/Financials[[#This Row],[ Units_Sold ]]</f>
        <v/>
      </c>
      <c r="W117">
        <f>IF(Financials[[#This Row],[ Profit ]]&lt;0,1,0)</f>
        <v/>
      </c>
    </row>
    <row r="118">
      <c r="A118" t="inlineStr">
        <is>
          <t>Small Business</t>
        </is>
      </c>
      <c r="B118" t="inlineStr">
        <is>
          <t>Canada</t>
        </is>
      </c>
      <c r="C118" t="inlineStr">
        <is>
          <t xml:space="preserve"> Paseo </t>
        </is>
      </c>
      <c r="D118" t="inlineStr">
        <is>
          <t xml:space="preserve"> Low </t>
        </is>
      </c>
      <c r="E118" t="n">
        <v>1916</v>
      </c>
      <c r="F118" s="69" t="n">
        <v>10</v>
      </c>
      <c r="G118" s="69" t="n">
        <v>300</v>
      </c>
      <c r="H118" s="69" t="n">
        <v>574800</v>
      </c>
      <c r="I118" s="5" t="n">
        <v>11496</v>
      </c>
      <c r="J118" s="69" t="n">
        <v>563304</v>
      </c>
      <c r="K118" s="69" t="n">
        <v>479000</v>
      </c>
      <c r="L118" s="69" t="n">
        <v>84304</v>
      </c>
      <c r="M118" s="1" t="n">
        <v>41651</v>
      </c>
      <c r="N118" t="n">
        <v>12</v>
      </c>
      <c r="O118" t="inlineStr">
        <is>
          <t xml:space="preserve"> December </t>
        </is>
      </c>
      <c r="P118" t="n">
        <v>2014</v>
      </c>
      <c r="Q118">
        <f>IF(Financials[[#This Row],[ Units_Sold ]]&lt;&gt;INT(Financials[[#This Row],[ Units_Sold ]]),1,0)</f>
        <v/>
      </c>
      <c r="R118" s="10">
        <f>Financials[[#This Row],[ Profit ]]/Financials[[#This Row],[  Sales ]]</f>
        <v/>
      </c>
      <c r="S118" s="2">
        <f>Financials[[#This Row],[ COGS ]]/Financials[[#This Row],[  Sales ]]</f>
        <v/>
      </c>
      <c r="T118" s="3">
        <f>Financials[[#This Row],[ Discounts ]]/Financials[[#This Row],[  Sales ]]</f>
        <v/>
      </c>
      <c r="U118">
        <f>Financials[[#This Row],[  Sales ]]/Financials[[#This Row],[ Units_Sold ]]</f>
        <v/>
      </c>
      <c r="V118">
        <f>Financials[[#This Row],[ Profit ]]/Financials[[#This Row],[ Units_Sold ]]</f>
        <v/>
      </c>
      <c r="W118">
        <f>IF(Financials[[#This Row],[ Profit ]]&lt;0,1,0)</f>
        <v/>
      </c>
    </row>
    <row r="119">
      <c r="A119" t="inlineStr">
        <is>
          <t>Government</t>
        </is>
      </c>
      <c r="B119" t="inlineStr">
        <is>
          <t>Canada</t>
        </is>
      </c>
      <c r="C119" t="inlineStr">
        <is>
          <t xml:space="preserve"> Paseo </t>
        </is>
      </c>
      <c r="D119" t="inlineStr">
        <is>
          <t xml:space="preserve"> Low </t>
        </is>
      </c>
      <c r="E119" t="n">
        <v>2852</v>
      </c>
      <c r="F119" s="69" t="n">
        <v>10</v>
      </c>
      <c r="G119" s="69" t="n">
        <v>350</v>
      </c>
      <c r="H119" s="69" t="n">
        <v>998200</v>
      </c>
      <c r="I119" s="5" t="n">
        <v>19964</v>
      </c>
      <c r="J119" s="69" t="n">
        <v>978236</v>
      </c>
      <c r="K119" s="69" t="n">
        <v>741520</v>
      </c>
      <c r="L119" s="69" t="n">
        <v>236716</v>
      </c>
      <c r="M119" s="1" t="n">
        <v>41651</v>
      </c>
      <c r="N119" t="n">
        <v>12</v>
      </c>
      <c r="O119" t="inlineStr">
        <is>
          <t xml:space="preserve"> December </t>
        </is>
      </c>
      <c r="P119" t="n">
        <v>2014</v>
      </c>
      <c r="Q119">
        <f>IF(Financials[[#This Row],[ Units_Sold ]]&lt;&gt;INT(Financials[[#This Row],[ Units_Sold ]]),1,0)</f>
        <v/>
      </c>
      <c r="R119" s="10">
        <f>Financials[[#This Row],[ Profit ]]/Financials[[#This Row],[  Sales ]]</f>
        <v/>
      </c>
      <c r="S119" s="2">
        <f>Financials[[#This Row],[ COGS ]]/Financials[[#This Row],[  Sales ]]</f>
        <v/>
      </c>
      <c r="T119" s="3">
        <f>Financials[[#This Row],[ Discounts ]]/Financials[[#This Row],[  Sales ]]</f>
        <v/>
      </c>
      <c r="U119">
        <f>Financials[[#This Row],[  Sales ]]/Financials[[#This Row],[ Units_Sold ]]</f>
        <v/>
      </c>
      <c r="V119">
        <f>Financials[[#This Row],[ Profit ]]/Financials[[#This Row],[ Units_Sold ]]</f>
        <v/>
      </c>
      <c r="W119">
        <f>IF(Financials[[#This Row],[ Profit ]]&lt;0,1,0)</f>
        <v/>
      </c>
    </row>
    <row r="120">
      <c r="A120" t="inlineStr">
        <is>
          <t>Enterprise</t>
        </is>
      </c>
      <c r="B120" t="inlineStr">
        <is>
          <t>Canada</t>
        </is>
      </c>
      <c r="C120" t="inlineStr">
        <is>
          <t xml:space="preserve"> Paseo </t>
        </is>
      </c>
      <c r="D120" t="inlineStr">
        <is>
          <t xml:space="preserve"> Low </t>
        </is>
      </c>
      <c r="E120" t="n">
        <v>2729</v>
      </c>
      <c r="F120" s="69" t="n">
        <v>10</v>
      </c>
      <c r="G120" s="69" t="n">
        <v>125</v>
      </c>
      <c r="H120" s="69" t="n">
        <v>341125</v>
      </c>
      <c r="I120" s="5" t="n">
        <v>6822.5</v>
      </c>
      <c r="J120" s="69" t="n">
        <v>334302.5</v>
      </c>
      <c r="K120" s="69" t="n">
        <v>327480</v>
      </c>
      <c r="L120" s="69" t="n">
        <v>6822.5</v>
      </c>
      <c r="M120" s="1" t="n">
        <v>41651</v>
      </c>
      <c r="N120" t="n">
        <v>12</v>
      </c>
      <c r="O120" t="inlineStr">
        <is>
          <t xml:space="preserve"> December </t>
        </is>
      </c>
      <c r="P120" t="n">
        <v>2014</v>
      </c>
      <c r="Q120">
        <f>IF(Financials[[#This Row],[ Units_Sold ]]&lt;&gt;INT(Financials[[#This Row],[ Units_Sold ]]),1,0)</f>
        <v/>
      </c>
      <c r="R120" s="10">
        <f>Financials[[#This Row],[ Profit ]]/Financials[[#This Row],[  Sales ]]</f>
        <v/>
      </c>
      <c r="S120" s="2">
        <f>Financials[[#This Row],[ COGS ]]/Financials[[#This Row],[  Sales ]]</f>
        <v/>
      </c>
      <c r="T120" s="3">
        <f>Financials[[#This Row],[ Discounts ]]/Financials[[#This Row],[  Sales ]]</f>
        <v/>
      </c>
      <c r="U120">
        <f>Financials[[#This Row],[  Sales ]]/Financials[[#This Row],[ Units_Sold ]]</f>
        <v/>
      </c>
      <c r="V120">
        <f>Financials[[#This Row],[ Profit ]]/Financials[[#This Row],[ Units_Sold ]]</f>
        <v/>
      </c>
      <c r="W120">
        <f>IF(Financials[[#This Row],[ Profit ]]&lt;0,1,0)</f>
        <v/>
      </c>
    </row>
    <row r="121">
      <c r="A121" t="inlineStr">
        <is>
          <t>Midmarket</t>
        </is>
      </c>
      <c r="B121" t="inlineStr">
        <is>
          <t>United States of America</t>
        </is>
      </c>
      <c r="C121" t="inlineStr">
        <is>
          <t xml:space="preserve"> Paseo </t>
        </is>
      </c>
      <c r="D121" t="inlineStr">
        <is>
          <t xml:space="preserve"> Low </t>
        </is>
      </c>
      <c r="E121" t="n">
        <v>1925</v>
      </c>
      <c r="F121" s="69" t="n">
        <v>10</v>
      </c>
      <c r="G121" s="69" t="n">
        <v>15</v>
      </c>
      <c r="H121" s="69" t="n">
        <v>28875</v>
      </c>
      <c r="I121" s="5" t="n">
        <v>577.5</v>
      </c>
      <c r="J121" s="69" t="n">
        <v>28297.5</v>
      </c>
      <c r="K121" s="69" t="n">
        <v>19250</v>
      </c>
      <c r="L121" s="69" t="n">
        <v>9047.5</v>
      </c>
      <c r="M121" s="1" t="n">
        <v>41286</v>
      </c>
      <c r="N121" t="n">
        <v>12</v>
      </c>
      <c r="O121" t="inlineStr">
        <is>
          <t xml:space="preserve"> December </t>
        </is>
      </c>
      <c r="P121" t="n">
        <v>2013</v>
      </c>
      <c r="Q121">
        <f>IF(Financials[[#This Row],[ Units_Sold ]]&lt;&gt;INT(Financials[[#This Row],[ Units_Sold ]]),1,0)</f>
        <v/>
      </c>
      <c r="R121" s="10">
        <f>Financials[[#This Row],[ Profit ]]/Financials[[#This Row],[  Sales ]]</f>
        <v/>
      </c>
      <c r="S121" s="2">
        <f>Financials[[#This Row],[ COGS ]]/Financials[[#This Row],[  Sales ]]</f>
        <v/>
      </c>
      <c r="T121" s="3">
        <f>Financials[[#This Row],[ Discounts ]]/Financials[[#This Row],[  Sales ]]</f>
        <v/>
      </c>
      <c r="U121">
        <f>Financials[[#This Row],[  Sales ]]/Financials[[#This Row],[ Units_Sold ]]</f>
        <v/>
      </c>
      <c r="V121">
        <f>Financials[[#This Row],[ Profit ]]/Financials[[#This Row],[ Units_Sold ]]</f>
        <v/>
      </c>
      <c r="W121">
        <f>IF(Financials[[#This Row],[ Profit ]]&lt;0,1,0)</f>
        <v/>
      </c>
    </row>
    <row r="122">
      <c r="A122" t="inlineStr">
        <is>
          <t>Government</t>
        </is>
      </c>
      <c r="B122" t="inlineStr">
        <is>
          <t>United States of America</t>
        </is>
      </c>
      <c r="C122" t="inlineStr">
        <is>
          <t xml:space="preserve"> Paseo </t>
        </is>
      </c>
      <c r="D122" t="inlineStr">
        <is>
          <t xml:space="preserve"> Low </t>
        </is>
      </c>
      <c r="E122" t="n">
        <v>2013</v>
      </c>
      <c r="F122" s="69" t="n">
        <v>10</v>
      </c>
      <c r="G122" s="69" t="n">
        <v>7</v>
      </c>
      <c r="H122" s="69" t="n">
        <v>14091</v>
      </c>
      <c r="I122" s="5" t="n">
        <v>281.82</v>
      </c>
      <c r="J122" s="69" t="n">
        <v>13809.18</v>
      </c>
      <c r="K122" s="69" t="n">
        <v>10065</v>
      </c>
      <c r="L122" s="69" t="n">
        <v>3744.18</v>
      </c>
      <c r="M122" s="1" t="n">
        <v>41286</v>
      </c>
      <c r="N122" t="n">
        <v>12</v>
      </c>
      <c r="O122" t="inlineStr">
        <is>
          <t xml:space="preserve"> December </t>
        </is>
      </c>
      <c r="P122" t="n">
        <v>2013</v>
      </c>
      <c r="Q122">
        <f>IF(Financials[[#This Row],[ Units_Sold ]]&lt;&gt;INT(Financials[[#This Row],[ Units_Sold ]]),1,0)</f>
        <v/>
      </c>
      <c r="R122" s="10">
        <f>Financials[[#This Row],[ Profit ]]/Financials[[#This Row],[  Sales ]]</f>
        <v/>
      </c>
      <c r="S122" s="2">
        <f>Financials[[#This Row],[ COGS ]]/Financials[[#This Row],[  Sales ]]</f>
        <v/>
      </c>
      <c r="T122" s="3">
        <f>Financials[[#This Row],[ Discounts ]]/Financials[[#This Row],[  Sales ]]</f>
        <v/>
      </c>
      <c r="U122">
        <f>Financials[[#This Row],[  Sales ]]/Financials[[#This Row],[ Units_Sold ]]</f>
        <v/>
      </c>
      <c r="V122">
        <f>Financials[[#This Row],[ Profit ]]/Financials[[#This Row],[ Units_Sold ]]</f>
        <v/>
      </c>
      <c r="W122">
        <f>IF(Financials[[#This Row],[ Profit ]]&lt;0,1,0)</f>
        <v/>
      </c>
    </row>
    <row r="123">
      <c r="A123" t="inlineStr">
        <is>
          <t>Channel Partners</t>
        </is>
      </c>
      <c r="B123" t="inlineStr">
        <is>
          <t>France</t>
        </is>
      </c>
      <c r="C123" t="inlineStr">
        <is>
          <t xml:space="preserve"> Paseo </t>
        </is>
      </c>
      <c r="D123" t="inlineStr">
        <is>
          <t xml:space="preserve"> Low </t>
        </is>
      </c>
      <c r="E123" t="n">
        <v>1055</v>
      </c>
      <c r="F123" s="69" t="n">
        <v>10</v>
      </c>
      <c r="G123" s="69" t="n">
        <v>12</v>
      </c>
      <c r="H123" s="69" t="n">
        <v>12660</v>
      </c>
      <c r="I123" s="5" t="n">
        <v>253.2</v>
      </c>
      <c r="J123" s="69" t="n">
        <v>12406.8</v>
      </c>
      <c r="K123" s="69" t="n">
        <v>3165</v>
      </c>
      <c r="L123" s="69" t="n">
        <v>9241.799999999999</v>
      </c>
      <c r="M123" s="1" t="n">
        <v>41651</v>
      </c>
      <c r="N123" t="n">
        <v>12</v>
      </c>
      <c r="O123" t="inlineStr">
        <is>
          <t xml:space="preserve"> December </t>
        </is>
      </c>
      <c r="P123" t="n">
        <v>2014</v>
      </c>
      <c r="Q123">
        <f>IF(Financials[[#This Row],[ Units_Sold ]]&lt;&gt;INT(Financials[[#This Row],[ Units_Sold ]]),1,0)</f>
        <v/>
      </c>
      <c r="R123" s="10">
        <f>Financials[[#This Row],[ Profit ]]/Financials[[#This Row],[  Sales ]]</f>
        <v/>
      </c>
      <c r="S123" s="2">
        <f>Financials[[#This Row],[ COGS ]]/Financials[[#This Row],[  Sales ]]</f>
        <v/>
      </c>
      <c r="T123" s="3">
        <f>Financials[[#This Row],[ Discounts ]]/Financials[[#This Row],[  Sales ]]</f>
        <v/>
      </c>
      <c r="U123">
        <f>Financials[[#This Row],[  Sales ]]/Financials[[#This Row],[ Units_Sold ]]</f>
        <v/>
      </c>
      <c r="V123">
        <f>Financials[[#This Row],[ Profit ]]/Financials[[#This Row],[ Units_Sold ]]</f>
        <v/>
      </c>
      <c r="W123">
        <f>IF(Financials[[#This Row],[ Profit ]]&lt;0,1,0)</f>
        <v/>
      </c>
    </row>
    <row r="124">
      <c r="A124" t="inlineStr">
        <is>
          <t>Channel Partners</t>
        </is>
      </c>
      <c r="B124" t="inlineStr">
        <is>
          <t>Mexico</t>
        </is>
      </c>
      <c r="C124" t="inlineStr">
        <is>
          <t xml:space="preserve"> Paseo </t>
        </is>
      </c>
      <c r="D124" t="inlineStr">
        <is>
          <t xml:space="preserve"> Low </t>
        </is>
      </c>
      <c r="E124" t="n">
        <v>1084</v>
      </c>
      <c r="F124" s="69" t="n">
        <v>10</v>
      </c>
      <c r="G124" s="69" t="n">
        <v>12</v>
      </c>
      <c r="H124" s="69" t="n">
        <v>13008</v>
      </c>
      <c r="I124" s="5" t="n">
        <v>260.16</v>
      </c>
      <c r="J124" s="69" t="n">
        <v>12747.84</v>
      </c>
      <c r="K124" s="69" t="n">
        <v>3252</v>
      </c>
      <c r="L124" s="69" t="n">
        <v>9495.84</v>
      </c>
      <c r="M124" s="1" t="n">
        <v>41651</v>
      </c>
      <c r="N124" t="n">
        <v>12</v>
      </c>
      <c r="O124" t="inlineStr">
        <is>
          <t xml:space="preserve"> December </t>
        </is>
      </c>
      <c r="P124" t="n">
        <v>2014</v>
      </c>
      <c r="Q124">
        <f>IF(Financials[[#This Row],[ Units_Sold ]]&lt;&gt;INT(Financials[[#This Row],[ Units_Sold ]]),1,0)</f>
        <v/>
      </c>
      <c r="R124" s="10">
        <f>Financials[[#This Row],[ Profit ]]/Financials[[#This Row],[  Sales ]]</f>
        <v/>
      </c>
      <c r="S124" s="2">
        <f>Financials[[#This Row],[ COGS ]]/Financials[[#This Row],[  Sales ]]</f>
        <v/>
      </c>
      <c r="T124" s="3">
        <f>Financials[[#This Row],[ Discounts ]]/Financials[[#This Row],[  Sales ]]</f>
        <v/>
      </c>
      <c r="U124">
        <f>Financials[[#This Row],[  Sales ]]/Financials[[#This Row],[ Units_Sold ]]</f>
        <v/>
      </c>
      <c r="V124">
        <f>Financials[[#This Row],[ Profit ]]/Financials[[#This Row],[ Units_Sold ]]</f>
        <v/>
      </c>
      <c r="W124">
        <f>IF(Financials[[#This Row],[ Profit ]]&lt;0,1,0)</f>
        <v/>
      </c>
    </row>
    <row r="125">
      <c r="A125" t="inlineStr">
        <is>
          <t>Government</t>
        </is>
      </c>
      <c r="B125" t="inlineStr">
        <is>
          <t>United States of America</t>
        </is>
      </c>
      <c r="C125" t="inlineStr">
        <is>
          <t xml:space="preserve"> Velo </t>
        </is>
      </c>
      <c r="D125" t="inlineStr">
        <is>
          <t xml:space="preserve"> Low </t>
        </is>
      </c>
      <c r="E125" t="n">
        <v>1566</v>
      </c>
      <c r="F125" s="69" t="n">
        <v>120</v>
      </c>
      <c r="G125" s="69" t="n">
        <v>20</v>
      </c>
      <c r="H125" s="69" t="n">
        <v>31320</v>
      </c>
      <c r="I125" s="5" t="n">
        <v>626.4</v>
      </c>
      <c r="J125" s="69" t="n">
        <v>30693.6</v>
      </c>
      <c r="K125" s="69" t="n">
        <v>15660</v>
      </c>
      <c r="L125" s="69" t="n">
        <v>15033.6</v>
      </c>
      <c r="M125" s="1" t="n">
        <v>41649</v>
      </c>
      <c r="N125" t="n">
        <v>10</v>
      </c>
      <c r="O125" t="inlineStr">
        <is>
          <t xml:space="preserve"> October </t>
        </is>
      </c>
      <c r="P125" t="n">
        <v>2014</v>
      </c>
      <c r="Q125">
        <f>IF(Financials[[#This Row],[ Units_Sold ]]&lt;&gt;INT(Financials[[#This Row],[ Units_Sold ]]),1,0)</f>
        <v/>
      </c>
      <c r="R125" s="10">
        <f>Financials[[#This Row],[ Profit ]]/Financials[[#This Row],[  Sales ]]</f>
        <v/>
      </c>
      <c r="S125" s="2">
        <f>Financials[[#This Row],[ COGS ]]/Financials[[#This Row],[  Sales ]]</f>
        <v/>
      </c>
      <c r="T125" s="3">
        <f>Financials[[#This Row],[ Discounts ]]/Financials[[#This Row],[  Sales ]]</f>
        <v/>
      </c>
      <c r="U125">
        <f>Financials[[#This Row],[  Sales ]]/Financials[[#This Row],[ Units_Sold ]]</f>
        <v/>
      </c>
      <c r="V125">
        <f>Financials[[#This Row],[ Profit ]]/Financials[[#This Row],[ Units_Sold ]]</f>
        <v/>
      </c>
      <c r="W125">
        <f>IF(Financials[[#This Row],[ Profit ]]&lt;0,1,0)</f>
        <v/>
      </c>
    </row>
    <row r="126">
      <c r="A126" t="inlineStr">
        <is>
          <t>Government</t>
        </is>
      </c>
      <c r="B126" t="inlineStr">
        <is>
          <t>Germany</t>
        </is>
      </c>
      <c r="C126" t="inlineStr">
        <is>
          <t xml:space="preserve"> Velo </t>
        </is>
      </c>
      <c r="D126" t="inlineStr">
        <is>
          <t xml:space="preserve"> Low </t>
        </is>
      </c>
      <c r="E126" t="n">
        <v>2966</v>
      </c>
      <c r="F126" s="69" t="n">
        <v>120</v>
      </c>
      <c r="G126" s="69" t="n">
        <v>350</v>
      </c>
      <c r="H126" s="69" t="n">
        <v>1038100</v>
      </c>
      <c r="I126" s="5" t="n">
        <v>20762</v>
      </c>
      <c r="J126" s="69" t="n">
        <v>1017338</v>
      </c>
      <c r="K126" s="69" t="n">
        <v>771160</v>
      </c>
      <c r="L126" s="69" t="n">
        <v>246178</v>
      </c>
      <c r="M126" s="1" t="n">
        <v>41284</v>
      </c>
      <c r="N126" t="n">
        <v>10</v>
      </c>
      <c r="O126" t="inlineStr">
        <is>
          <t xml:space="preserve"> October </t>
        </is>
      </c>
      <c r="P126" t="n">
        <v>2013</v>
      </c>
      <c r="Q126">
        <f>IF(Financials[[#This Row],[ Units_Sold ]]&lt;&gt;INT(Financials[[#This Row],[ Units_Sold ]]),1,0)</f>
        <v/>
      </c>
      <c r="R126" s="10">
        <f>Financials[[#This Row],[ Profit ]]/Financials[[#This Row],[  Sales ]]</f>
        <v/>
      </c>
      <c r="S126" s="2">
        <f>Financials[[#This Row],[ COGS ]]/Financials[[#This Row],[  Sales ]]</f>
        <v/>
      </c>
      <c r="T126" s="3">
        <f>Financials[[#This Row],[ Discounts ]]/Financials[[#This Row],[  Sales ]]</f>
        <v/>
      </c>
      <c r="U126">
        <f>Financials[[#This Row],[  Sales ]]/Financials[[#This Row],[ Units_Sold ]]</f>
        <v/>
      </c>
      <c r="V126">
        <f>Financials[[#This Row],[ Profit ]]/Financials[[#This Row],[ Units_Sold ]]</f>
        <v/>
      </c>
      <c r="W126">
        <f>IF(Financials[[#This Row],[ Profit ]]&lt;0,1,0)</f>
        <v/>
      </c>
    </row>
    <row r="127">
      <c r="A127" t="inlineStr">
        <is>
          <t>Government</t>
        </is>
      </c>
      <c r="B127" t="inlineStr">
        <is>
          <t>Germany</t>
        </is>
      </c>
      <c r="C127" t="inlineStr">
        <is>
          <t xml:space="preserve"> Velo </t>
        </is>
      </c>
      <c r="D127" t="inlineStr">
        <is>
          <t xml:space="preserve"> Low </t>
        </is>
      </c>
      <c r="E127" t="n">
        <v>2877</v>
      </c>
      <c r="F127" s="69" t="n">
        <v>120</v>
      </c>
      <c r="G127" s="69" t="n">
        <v>350</v>
      </c>
      <c r="H127" s="69" t="n">
        <v>1006950</v>
      </c>
      <c r="I127" s="5" t="n">
        <v>20139</v>
      </c>
      <c r="J127" s="69" t="n">
        <v>986811</v>
      </c>
      <c r="K127" s="69" t="n">
        <v>748020</v>
      </c>
      <c r="L127" s="69" t="n">
        <v>238791</v>
      </c>
      <c r="M127" s="1" t="n">
        <v>41649</v>
      </c>
      <c r="N127" t="n">
        <v>10</v>
      </c>
      <c r="O127" t="inlineStr">
        <is>
          <t xml:space="preserve"> October </t>
        </is>
      </c>
      <c r="P127" t="n">
        <v>2014</v>
      </c>
      <c r="Q127">
        <f>IF(Financials[[#This Row],[ Units_Sold ]]&lt;&gt;INT(Financials[[#This Row],[ Units_Sold ]]),1,0)</f>
        <v/>
      </c>
      <c r="R127" s="10">
        <f>Financials[[#This Row],[ Profit ]]/Financials[[#This Row],[  Sales ]]</f>
        <v/>
      </c>
      <c r="S127" s="2">
        <f>Financials[[#This Row],[ COGS ]]/Financials[[#This Row],[  Sales ]]</f>
        <v/>
      </c>
      <c r="T127" s="3">
        <f>Financials[[#This Row],[ Discounts ]]/Financials[[#This Row],[  Sales ]]</f>
        <v/>
      </c>
      <c r="U127">
        <f>Financials[[#This Row],[  Sales ]]/Financials[[#This Row],[ Units_Sold ]]</f>
        <v/>
      </c>
      <c r="V127">
        <f>Financials[[#This Row],[ Profit ]]/Financials[[#This Row],[ Units_Sold ]]</f>
        <v/>
      </c>
      <c r="W127">
        <f>IF(Financials[[#This Row],[ Profit ]]&lt;0,1,0)</f>
        <v/>
      </c>
    </row>
    <row r="128">
      <c r="A128" t="inlineStr">
        <is>
          <t>Enterprise</t>
        </is>
      </c>
      <c r="B128" t="inlineStr">
        <is>
          <t>Germany</t>
        </is>
      </c>
      <c r="C128" t="inlineStr">
        <is>
          <t xml:space="preserve"> Velo </t>
        </is>
      </c>
      <c r="D128" t="inlineStr">
        <is>
          <t xml:space="preserve"> Low </t>
        </is>
      </c>
      <c r="E128" t="n">
        <v>809</v>
      </c>
      <c r="F128" s="69" t="n">
        <v>120</v>
      </c>
      <c r="G128" s="69" t="n">
        <v>125</v>
      </c>
      <c r="H128" s="69" t="n">
        <v>101125</v>
      </c>
      <c r="I128" s="5" t="n">
        <v>2022.5</v>
      </c>
      <c r="J128" s="69" t="n">
        <v>99102.5</v>
      </c>
      <c r="K128" s="69" t="n">
        <v>97080</v>
      </c>
      <c r="L128" s="69" t="n">
        <v>2022.5</v>
      </c>
      <c r="M128" s="1" t="n">
        <v>41284</v>
      </c>
      <c r="N128" t="n">
        <v>10</v>
      </c>
      <c r="O128" t="inlineStr">
        <is>
          <t xml:space="preserve"> October </t>
        </is>
      </c>
      <c r="P128" t="n">
        <v>2013</v>
      </c>
      <c r="Q128">
        <f>IF(Financials[[#This Row],[ Units_Sold ]]&lt;&gt;INT(Financials[[#This Row],[ Units_Sold ]]),1,0)</f>
        <v/>
      </c>
      <c r="R128" s="10">
        <f>Financials[[#This Row],[ Profit ]]/Financials[[#This Row],[  Sales ]]</f>
        <v/>
      </c>
      <c r="S128" s="2">
        <f>Financials[[#This Row],[ COGS ]]/Financials[[#This Row],[  Sales ]]</f>
        <v/>
      </c>
      <c r="T128" s="3">
        <f>Financials[[#This Row],[ Discounts ]]/Financials[[#This Row],[  Sales ]]</f>
        <v/>
      </c>
      <c r="U128">
        <f>Financials[[#This Row],[  Sales ]]/Financials[[#This Row],[ Units_Sold ]]</f>
        <v/>
      </c>
      <c r="V128">
        <f>Financials[[#This Row],[ Profit ]]/Financials[[#This Row],[ Units_Sold ]]</f>
        <v/>
      </c>
      <c r="W128">
        <f>IF(Financials[[#This Row],[ Profit ]]&lt;0,1,0)</f>
        <v/>
      </c>
    </row>
    <row r="129">
      <c r="A129" t="inlineStr">
        <is>
          <t>Enterprise</t>
        </is>
      </c>
      <c r="B129" t="inlineStr">
        <is>
          <t>Mexico</t>
        </is>
      </c>
      <c r="C129" t="inlineStr">
        <is>
          <t xml:space="preserve"> Velo </t>
        </is>
      </c>
      <c r="D129" t="inlineStr">
        <is>
          <t xml:space="preserve"> Low </t>
        </is>
      </c>
      <c r="E129" t="n">
        <v>2145</v>
      </c>
      <c r="F129" s="69" t="n">
        <v>120</v>
      </c>
      <c r="G129" s="69" t="n">
        <v>125</v>
      </c>
      <c r="H129" s="69" t="n">
        <v>268125</v>
      </c>
      <c r="I129" s="5" t="n">
        <v>5362.5</v>
      </c>
      <c r="J129" s="69" t="n">
        <v>262762.5</v>
      </c>
      <c r="K129" s="69" t="n">
        <v>257400</v>
      </c>
      <c r="L129" s="69" t="n">
        <v>5362.5</v>
      </c>
      <c r="M129" s="1" t="n">
        <v>41284</v>
      </c>
      <c r="N129" t="n">
        <v>10</v>
      </c>
      <c r="O129" t="inlineStr">
        <is>
          <t xml:space="preserve"> October </t>
        </is>
      </c>
      <c r="P129" t="n">
        <v>2013</v>
      </c>
      <c r="Q129">
        <f>IF(Financials[[#This Row],[ Units_Sold ]]&lt;&gt;INT(Financials[[#This Row],[ Units_Sold ]]),1,0)</f>
        <v/>
      </c>
      <c r="R129" s="10">
        <f>Financials[[#This Row],[ Profit ]]/Financials[[#This Row],[  Sales ]]</f>
        <v/>
      </c>
      <c r="S129" s="2">
        <f>Financials[[#This Row],[ COGS ]]/Financials[[#This Row],[  Sales ]]</f>
        <v/>
      </c>
      <c r="T129" s="3">
        <f>Financials[[#This Row],[ Discounts ]]/Financials[[#This Row],[  Sales ]]</f>
        <v/>
      </c>
      <c r="U129">
        <f>Financials[[#This Row],[  Sales ]]/Financials[[#This Row],[ Units_Sold ]]</f>
        <v/>
      </c>
      <c r="V129">
        <f>Financials[[#This Row],[ Profit ]]/Financials[[#This Row],[ Units_Sold ]]</f>
        <v/>
      </c>
      <c r="W129">
        <f>IF(Financials[[#This Row],[ Profit ]]&lt;0,1,0)</f>
        <v/>
      </c>
    </row>
    <row r="130">
      <c r="A130" t="inlineStr">
        <is>
          <t>Channel Partners</t>
        </is>
      </c>
      <c r="B130" t="inlineStr">
        <is>
          <t>France</t>
        </is>
      </c>
      <c r="C130" t="inlineStr">
        <is>
          <t xml:space="preserve"> Velo </t>
        </is>
      </c>
      <c r="D130" t="inlineStr">
        <is>
          <t xml:space="preserve"> Low </t>
        </is>
      </c>
      <c r="E130" t="n">
        <v>1055</v>
      </c>
      <c r="F130" s="69" t="n">
        <v>120</v>
      </c>
      <c r="G130" s="69" t="n">
        <v>12</v>
      </c>
      <c r="H130" s="69" t="n">
        <v>12660</v>
      </c>
      <c r="I130" s="5" t="n">
        <v>253.2</v>
      </c>
      <c r="J130" s="69" t="n">
        <v>12406.8</v>
      </c>
      <c r="K130" s="69" t="n">
        <v>3165</v>
      </c>
      <c r="L130" s="69" t="n">
        <v>9241.799999999999</v>
      </c>
      <c r="M130" s="1" t="n">
        <v>41651</v>
      </c>
      <c r="N130" t="n">
        <v>12</v>
      </c>
      <c r="O130" t="inlineStr">
        <is>
          <t xml:space="preserve"> December </t>
        </is>
      </c>
      <c r="P130" t="n">
        <v>2014</v>
      </c>
      <c r="Q130">
        <f>IF(Financials[[#This Row],[ Units_Sold ]]&lt;&gt;INT(Financials[[#This Row],[ Units_Sold ]]),1,0)</f>
        <v/>
      </c>
      <c r="R130" s="10">
        <f>Financials[[#This Row],[ Profit ]]/Financials[[#This Row],[  Sales ]]</f>
        <v/>
      </c>
      <c r="S130" s="2">
        <f>Financials[[#This Row],[ COGS ]]/Financials[[#This Row],[  Sales ]]</f>
        <v/>
      </c>
      <c r="T130" s="3">
        <f>Financials[[#This Row],[ Discounts ]]/Financials[[#This Row],[  Sales ]]</f>
        <v/>
      </c>
      <c r="U130">
        <f>Financials[[#This Row],[  Sales ]]/Financials[[#This Row],[ Units_Sold ]]</f>
        <v/>
      </c>
      <c r="V130">
        <f>Financials[[#This Row],[ Profit ]]/Financials[[#This Row],[ Units_Sold ]]</f>
        <v/>
      </c>
      <c r="W130">
        <f>IF(Financials[[#This Row],[ Profit ]]&lt;0,1,0)</f>
        <v/>
      </c>
    </row>
    <row r="131">
      <c r="A131" t="inlineStr">
        <is>
          <t>Government</t>
        </is>
      </c>
      <c r="B131" t="inlineStr">
        <is>
          <t>Mexico</t>
        </is>
      </c>
      <c r="C131" t="inlineStr">
        <is>
          <t xml:space="preserve"> Velo </t>
        </is>
      </c>
      <c r="D131" t="inlineStr">
        <is>
          <t xml:space="preserve"> Low </t>
        </is>
      </c>
      <c r="E131" t="n">
        <v>544</v>
      </c>
      <c r="F131" s="69" t="n">
        <v>120</v>
      </c>
      <c r="G131" s="69" t="n">
        <v>20</v>
      </c>
      <c r="H131" s="69" t="n">
        <v>10880</v>
      </c>
      <c r="I131" s="5" t="n">
        <v>217.6</v>
      </c>
      <c r="J131" s="69" t="n">
        <v>10662.4</v>
      </c>
      <c r="K131" s="69" t="n">
        <v>5440</v>
      </c>
      <c r="L131" s="69" t="n">
        <v>5222.4</v>
      </c>
      <c r="M131" s="1" t="n">
        <v>41286</v>
      </c>
      <c r="N131" t="n">
        <v>12</v>
      </c>
      <c r="O131" t="inlineStr">
        <is>
          <t xml:space="preserve"> December </t>
        </is>
      </c>
      <c r="P131" t="n">
        <v>2013</v>
      </c>
      <c r="Q131">
        <f>IF(Financials[[#This Row],[ Units_Sold ]]&lt;&gt;INT(Financials[[#This Row],[ Units_Sold ]]),1,0)</f>
        <v/>
      </c>
      <c r="R131" s="10">
        <f>Financials[[#This Row],[ Profit ]]/Financials[[#This Row],[  Sales ]]</f>
        <v/>
      </c>
      <c r="S131" s="2">
        <f>Financials[[#This Row],[ COGS ]]/Financials[[#This Row],[  Sales ]]</f>
        <v/>
      </c>
      <c r="T131" s="3">
        <f>Financials[[#This Row],[ Discounts ]]/Financials[[#This Row],[  Sales ]]</f>
        <v/>
      </c>
      <c r="U131">
        <f>Financials[[#This Row],[  Sales ]]/Financials[[#This Row],[ Units_Sold ]]</f>
        <v/>
      </c>
      <c r="V131">
        <f>Financials[[#This Row],[ Profit ]]/Financials[[#This Row],[ Units_Sold ]]</f>
        <v/>
      </c>
      <c r="W131">
        <f>IF(Financials[[#This Row],[ Profit ]]&lt;0,1,0)</f>
        <v/>
      </c>
    </row>
    <row r="132">
      <c r="A132" t="inlineStr">
        <is>
          <t>Channel Partners</t>
        </is>
      </c>
      <c r="B132" t="inlineStr">
        <is>
          <t>Mexico</t>
        </is>
      </c>
      <c r="C132" t="inlineStr">
        <is>
          <t xml:space="preserve"> Velo </t>
        </is>
      </c>
      <c r="D132" t="inlineStr">
        <is>
          <t xml:space="preserve"> Low </t>
        </is>
      </c>
      <c r="E132" t="n">
        <v>1084</v>
      </c>
      <c r="F132" s="69" t="n">
        <v>120</v>
      </c>
      <c r="G132" s="69" t="n">
        <v>12</v>
      </c>
      <c r="H132" s="69" t="n">
        <v>13008</v>
      </c>
      <c r="I132" s="5" t="n">
        <v>260.16</v>
      </c>
      <c r="J132" s="69" t="n">
        <v>12747.84</v>
      </c>
      <c r="K132" s="69" t="n">
        <v>3252</v>
      </c>
      <c r="L132" s="69" t="n">
        <v>9495.84</v>
      </c>
      <c r="M132" s="1" t="n">
        <v>41651</v>
      </c>
      <c r="N132" t="n">
        <v>12</v>
      </c>
      <c r="O132" t="inlineStr">
        <is>
          <t xml:space="preserve"> December </t>
        </is>
      </c>
      <c r="P132" t="n">
        <v>2014</v>
      </c>
      <c r="Q132">
        <f>IF(Financials[[#This Row],[ Units_Sold ]]&lt;&gt;INT(Financials[[#This Row],[ Units_Sold ]]),1,0)</f>
        <v/>
      </c>
      <c r="R132" s="10">
        <f>Financials[[#This Row],[ Profit ]]/Financials[[#This Row],[  Sales ]]</f>
        <v/>
      </c>
      <c r="S132" s="2">
        <f>Financials[[#This Row],[ COGS ]]/Financials[[#This Row],[  Sales ]]</f>
        <v/>
      </c>
      <c r="T132" s="3">
        <f>Financials[[#This Row],[ Discounts ]]/Financials[[#This Row],[  Sales ]]</f>
        <v/>
      </c>
      <c r="U132">
        <f>Financials[[#This Row],[  Sales ]]/Financials[[#This Row],[ Units_Sold ]]</f>
        <v/>
      </c>
      <c r="V132">
        <f>Financials[[#This Row],[ Profit ]]/Financials[[#This Row],[ Units_Sold ]]</f>
        <v/>
      </c>
      <c r="W132">
        <f>IF(Financials[[#This Row],[ Profit ]]&lt;0,1,0)</f>
        <v/>
      </c>
    </row>
    <row r="133">
      <c r="A133" t="inlineStr">
        <is>
          <t>Enterprise</t>
        </is>
      </c>
      <c r="B133" t="inlineStr">
        <is>
          <t>Mexico</t>
        </is>
      </c>
      <c r="C133" t="inlineStr">
        <is>
          <t xml:space="preserve"> VTT </t>
        </is>
      </c>
      <c r="D133" t="inlineStr">
        <is>
          <t xml:space="preserve"> Low </t>
        </is>
      </c>
      <c r="E133" t="n">
        <v>662</v>
      </c>
      <c r="F133" s="69" t="n">
        <v>250</v>
      </c>
      <c r="G133" s="69" t="n">
        <v>125</v>
      </c>
      <c r="H133" s="69" t="n">
        <v>82750</v>
      </c>
      <c r="I133" s="5" t="n">
        <v>1655</v>
      </c>
      <c r="J133" s="69" t="n">
        <v>81095</v>
      </c>
      <c r="K133" s="69" t="n">
        <v>79440</v>
      </c>
      <c r="L133" s="69" t="n">
        <v>1655</v>
      </c>
      <c r="M133" s="1" t="n">
        <v>41645</v>
      </c>
      <c r="N133" t="n">
        <v>6</v>
      </c>
      <c r="O133" t="inlineStr">
        <is>
          <t xml:space="preserve"> June </t>
        </is>
      </c>
      <c r="P133" t="n">
        <v>2014</v>
      </c>
      <c r="Q133">
        <f>IF(Financials[[#This Row],[ Units_Sold ]]&lt;&gt;INT(Financials[[#This Row],[ Units_Sold ]]),1,0)</f>
        <v/>
      </c>
      <c r="R133" s="10">
        <f>Financials[[#This Row],[ Profit ]]/Financials[[#This Row],[  Sales ]]</f>
        <v/>
      </c>
      <c r="S133" s="2">
        <f>Financials[[#This Row],[ COGS ]]/Financials[[#This Row],[  Sales ]]</f>
        <v/>
      </c>
      <c r="T133" s="3">
        <f>Financials[[#This Row],[ Discounts ]]/Financials[[#This Row],[  Sales ]]</f>
        <v/>
      </c>
      <c r="U133">
        <f>Financials[[#This Row],[  Sales ]]/Financials[[#This Row],[ Units_Sold ]]</f>
        <v/>
      </c>
      <c r="V133">
        <f>Financials[[#This Row],[ Profit ]]/Financials[[#This Row],[ Units_Sold ]]</f>
        <v/>
      </c>
      <c r="W133">
        <f>IF(Financials[[#This Row],[ Profit ]]&lt;0,1,0)</f>
        <v/>
      </c>
    </row>
    <row r="134">
      <c r="A134" t="inlineStr">
        <is>
          <t>Small Business</t>
        </is>
      </c>
      <c r="B134" t="inlineStr">
        <is>
          <t>Germany</t>
        </is>
      </c>
      <c r="C134" t="inlineStr">
        <is>
          <t xml:space="preserve"> VTT </t>
        </is>
      </c>
      <c r="D134" t="inlineStr">
        <is>
          <t xml:space="preserve"> Low </t>
        </is>
      </c>
      <c r="E134" t="n">
        <v>214</v>
      </c>
      <c r="F134" s="69" t="n">
        <v>250</v>
      </c>
      <c r="G134" s="69" t="n">
        <v>300</v>
      </c>
      <c r="H134" s="69" t="n">
        <v>64200</v>
      </c>
      <c r="I134" s="5" t="n">
        <v>1284</v>
      </c>
      <c r="J134" s="69" t="n">
        <v>62916</v>
      </c>
      <c r="K134" s="69" t="n">
        <v>53500</v>
      </c>
      <c r="L134" s="69" t="n">
        <v>9416</v>
      </c>
      <c r="M134" s="1" t="n">
        <v>41284</v>
      </c>
      <c r="N134" t="n">
        <v>10</v>
      </c>
      <c r="O134" t="inlineStr">
        <is>
          <t xml:space="preserve"> October </t>
        </is>
      </c>
      <c r="P134" t="n">
        <v>2013</v>
      </c>
      <c r="Q134">
        <f>IF(Financials[[#This Row],[ Units_Sold ]]&lt;&gt;INT(Financials[[#This Row],[ Units_Sold ]]),1,0)</f>
        <v/>
      </c>
      <c r="R134" s="10">
        <f>Financials[[#This Row],[ Profit ]]/Financials[[#This Row],[  Sales ]]</f>
        <v/>
      </c>
      <c r="S134" s="2">
        <f>Financials[[#This Row],[ COGS ]]/Financials[[#This Row],[  Sales ]]</f>
        <v/>
      </c>
      <c r="T134" s="3">
        <f>Financials[[#This Row],[ Discounts ]]/Financials[[#This Row],[  Sales ]]</f>
        <v/>
      </c>
      <c r="U134">
        <f>Financials[[#This Row],[  Sales ]]/Financials[[#This Row],[ Units_Sold ]]</f>
        <v/>
      </c>
      <c r="V134">
        <f>Financials[[#This Row],[ Profit ]]/Financials[[#This Row],[ Units_Sold ]]</f>
        <v/>
      </c>
      <c r="W134">
        <f>IF(Financials[[#This Row],[ Profit ]]&lt;0,1,0)</f>
        <v/>
      </c>
    </row>
    <row r="135">
      <c r="A135" t="inlineStr">
        <is>
          <t>Government</t>
        </is>
      </c>
      <c r="B135" t="inlineStr">
        <is>
          <t>Germany</t>
        </is>
      </c>
      <c r="C135" t="inlineStr">
        <is>
          <t xml:space="preserve"> VTT </t>
        </is>
      </c>
      <c r="D135" t="inlineStr">
        <is>
          <t xml:space="preserve"> Low </t>
        </is>
      </c>
      <c r="E135" t="n">
        <v>2877</v>
      </c>
      <c r="F135" s="69" t="n">
        <v>250</v>
      </c>
      <c r="G135" s="69" t="n">
        <v>350</v>
      </c>
      <c r="H135" s="69" t="n">
        <v>1006950</v>
      </c>
      <c r="I135" s="5" t="n">
        <v>20139</v>
      </c>
      <c r="J135" s="69" t="n">
        <v>986811</v>
      </c>
      <c r="K135" s="69" t="n">
        <v>748020</v>
      </c>
      <c r="L135" s="69" t="n">
        <v>238791</v>
      </c>
      <c r="M135" s="1" t="n">
        <v>41649</v>
      </c>
      <c r="N135" t="n">
        <v>10</v>
      </c>
      <c r="O135" t="inlineStr">
        <is>
          <t xml:space="preserve"> October </t>
        </is>
      </c>
      <c r="P135" t="n">
        <v>2014</v>
      </c>
      <c r="Q135">
        <f>IF(Financials[[#This Row],[ Units_Sold ]]&lt;&gt;INT(Financials[[#This Row],[ Units_Sold ]]),1,0)</f>
        <v/>
      </c>
      <c r="R135" s="10">
        <f>Financials[[#This Row],[ Profit ]]/Financials[[#This Row],[  Sales ]]</f>
        <v/>
      </c>
      <c r="S135" s="2">
        <f>Financials[[#This Row],[ COGS ]]/Financials[[#This Row],[  Sales ]]</f>
        <v/>
      </c>
      <c r="T135" s="3">
        <f>Financials[[#This Row],[ Discounts ]]/Financials[[#This Row],[  Sales ]]</f>
        <v/>
      </c>
      <c r="U135">
        <f>Financials[[#This Row],[  Sales ]]/Financials[[#This Row],[ Units_Sold ]]</f>
        <v/>
      </c>
      <c r="V135">
        <f>Financials[[#This Row],[ Profit ]]/Financials[[#This Row],[ Units_Sold ]]</f>
        <v/>
      </c>
      <c r="W135">
        <f>IF(Financials[[#This Row],[ Profit ]]&lt;0,1,0)</f>
        <v/>
      </c>
    </row>
    <row r="136">
      <c r="A136" t="inlineStr">
        <is>
          <t>Enterprise</t>
        </is>
      </c>
      <c r="B136" t="inlineStr">
        <is>
          <t>Canada</t>
        </is>
      </c>
      <c r="C136" t="inlineStr">
        <is>
          <t xml:space="preserve"> VTT </t>
        </is>
      </c>
      <c r="D136" t="inlineStr">
        <is>
          <t xml:space="preserve"> Low </t>
        </is>
      </c>
      <c r="E136" t="n">
        <v>2729</v>
      </c>
      <c r="F136" s="69" t="n">
        <v>250</v>
      </c>
      <c r="G136" s="69" t="n">
        <v>125</v>
      </c>
      <c r="H136" s="69" t="n">
        <v>341125</v>
      </c>
      <c r="I136" s="5" t="n">
        <v>6822.5</v>
      </c>
      <c r="J136" s="69" t="n">
        <v>334302.5</v>
      </c>
      <c r="K136" s="69" t="n">
        <v>327480</v>
      </c>
      <c r="L136" s="69" t="n">
        <v>6822.5</v>
      </c>
      <c r="M136" s="1" t="n">
        <v>41651</v>
      </c>
      <c r="N136" t="n">
        <v>12</v>
      </c>
      <c r="O136" t="inlineStr">
        <is>
          <t xml:space="preserve"> December </t>
        </is>
      </c>
      <c r="P136" t="n">
        <v>2014</v>
      </c>
      <c r="Q136">
        <f>IF(Financials[[#This Row],[ Units_Sold ]]&lt;&gt;INT(Financials[[#This Row],[ Units_Sold ]]),1,0)</f>
        <v/>
      </c>
      <c r="R136" s="10">
        <f>Financials[[#This Row],[ Profit ]]/Financials[[#This Row],[  Sales ]]</f>
        <v/>
      </c>
      <c r="S136" s="2">
        <f>Financials[[#This Row],[ COGS ]]/Financials[[#This Row],[  Sales ]]</f>
        <v/>
      </c>
      <c r="T136" s="3">
        <f>Financials[[#This Row],[ Discounts ]]/Financials[[#This Row],[  Sales ]]</f>
        <v/>
      </c>
      <c r="U136">
        <f>Financials[[#This Row],[  Sales ]]/Financials[[#This Row],[ Units_Sold ]]</f>
        <v/>
      </c>
      <c r="V136">
        <f>Financials[[#This Row],[ Profit ]]/Financials[[#This Row],[ Units_Sold ]]</f>
        <v/>
      </c>
      <c r="W136">
        <f>IF(Financials[[#This Row],[ Profit ]]&lt;0,1,0)</f>
        <v/>
      </c>
    </row>
    <row r="137">
      <c r="A137" t="inlineStr">
        <is>
          <t>Government</t>
        </is>
      </c>
      <c r="B137" t="inlineStr">
        <is>
          <t>United States of America</t>
        </is>
      </c>
      <c r="C137" t="inlineStr">
        <is>
          <t xml:space="preserve"> VTT </t>
        </is>
      </c>
      <c r="D137" t="inlineStr">
        <is>
          <t xml:space="preserve"> Low </t>
        </is>
      </c>
      <c r="E137" t="n">
        <v>266</v>
      </c>
      <c r="F137" s="69" t="n">
        <v>250</v>
      </c>
      <c r="G137" s="69" t="n">
        <v>350</v>
      </c>
      <c r="H137" s="69" t="n">
        <v>93100</v>
      </c>
      <c r="I137" s="5" t="n">
        <v>1862</v>
      </c>
      <c r="J137" s="69" t="n">
        <v>91238</v>
      </c>
      <c r="K137" s="69" t="n">
        <v>69160</v>
      </c>
      <c r="L137" s="69" t="n">
        <v>22078</v>
      </c>
      <c r="M137" s="1" t="n">
        <v>41286</v>
      </c>
      <c r="N137" t="n">
        <v>12</v>
      </c>
      <c r="O137" t="inlineStr">
        <is>
          <t xml:space="preserve"> December </t>
        </is>
      </c>
      <c r="P137" t="n">
        <v>2013</v>
      </c>
      <c r="Q137">
        <f>IF(Financials[[#This Row],[ Units_Sold ]]&lt;&gt;INT(Financials[[#This Row],[ Units_Sold ]]),1,0)</f>
        <v/>
      </c>
      <c r="R137" s="10">
        <f>Financials[[#This Row],[ Profit ]]/Financials[[#This Row],[  Sales ]]</f>
        <v/>
      </c>
      <c r="S137" s="2">
        <f>Financials[[#This Row],[ COGS ]]/Financials[[#This Row],[  Sales ]]</f>
        <v/>
      </c>
      <c r="T137" s="3">
        <f>Financials[[#This Row],[ Discounts ]]/Financials[[#This Row],[  Sales ]]</f>
        <v/>
      </c>
      <c r="U137">
        <f>Financials[[#This Row],[  Sales ]]/Financials[[#This Row],[ Units_Sold ]]</f>
        <v/>
      </c>
      <c r="V137">
        <f>Financials[[#This Row],[ Profit ]]/Financials[[#This Row],[ Units_Sold ]]</f>
        <v/>
      </c>
      <c r="W137">
        <f>IF(Financials[[#This Row],[ Profit ]]&lt;0,1,0)</f>
        <v/>
      </c>
    </row>
    <row r="138">
      <c r="A138" t="inlineStr">
        <is>
          <t>Government</t>
        </is>
      </c>
      <c r="B138" t="inlineStr">
        <is>
          <t>Mexico</t>
        </is>
      </c>
      <c r="C138" t="inlineStr">
        <is>
          <t xml:space="preserve"> VTT </t>
        </is>
      </c>
      <c r="D138" t="inlineStr">
        <is>
          <t xml:space="preserve"> Low </t>
        </is>
      </c>
      <c r="E138" t="n">
        <v>1940</v>
      </c>
      <c r="F138" s="69" t="n">
        <v>250</v>
      </c>
      <c r="G138" s="69" t="n">
        <v>350</v>
      </c>
      <c r="H138" s="69" t="n">
        <v>679000</v>
      </c>
      <c r="I138" s="5" t="n">
        <v>13580</v>
      </c>
      <c r="J138" s="69" t="n">
        <v>665420</v>
      </c>
      <c r="K138" s="69" t="n">
        <v>504400</v>
      </c>
      <c r="L138" s="69" t="n">
        <v>161020</v>
      </c>
      <c r="M138" s="1" t="n">
        <v>41286</v>
      </c>
      <c r="N138" t="n">
        <v>12</v>
      </c>
      <c r="O138" t="inlineStr">
        <is>
          <t xml:space="preserve"> December </t>
        </is>
      </c>
      <c r="P138" t="n">
        <v>2013</v>
      </c>
      <c r="Q138">
        <f>IF(Financials[[#This Row],[ Units_Sold ]]&lt;&gt;INT(Financials[[#This Row],[ Units_Sold ]]),1,0)</f>
        <v/>
      </c>
      <c r="R138" s="10">
        <f>Financials[[#This Row],[ Profit ]]/Financials[[#This Row],[  Sales ]]</f>
        <v/>
      </c>
      <c r="S138" s="2">
        <f>Financials[[#This Row],[ COGS ]]/Financials[[#This Row],[  Sales ]]</f>
        <v/>
      </c>
      <c r="T138" s="3">
        <f>Financials[[#This Row],[ Discounts ]]/Financials[[#This Row],[  Sales ]]</f>
        <v/>
      </c>
      <c r="U138">
        <f>Financials[[#This Row],[  Sales ]]/Financials[[#This Row],[ Units_Sold ]]</f>
        <v/>
      </c>
      <c r="V138">
        <f>Financials[[#This Row],[ Profit ]]/Financials[[#This Row],[ Units_Sold ]]</f>
        <v/>
      </c>
      <c r="W138">
        <f>IF(Financials[[#This Row],[ Profit ]]&lt;0,1,0)</f>
        <v/>
      </c>
    </row>
    <row r="139">
      <c r="A139" t="inlineStr">
        <is>
          <t>Small Business</t>
        </is>
      </c>
      <c r="B139" t="inlineStr">
        <is>
          <t>Germany</t>
        </is>
      </c>
      <c r="C139" t="inlineStr">
        <is>
          <t xml:space="preserve"> Amarilla </t>
        </is>
      </c>
      <c r="D139" t="inlineStr">
        <is>
          <t xml:space="preserve"> Low </t>
        </is>
      </c>
      <c r="E139" t="n">
        <v>259</v>
      </c>
      <c r="F139" s="69" t="n">
        <v>260</v>
      </c>
      <c r="G139" s="69" t="n">
        <v>300</v>
      </c>
      <c r="H139" s="69" t="n">
        <v>77700</v>
      </c>
      <c r="I139" s="5" t="n">
        <v>1554</v>
      </c>
      <c r="J139" s="69" t="n">
        <v>76146</v>
      </c>
      <c r="K139" s="69" t="n">
        <v>64750</v>
      </c>
      <c r="L139" s="69" t="n">
        <v>11396</v>
      </c>
      <c r="M139" s="1" t="n">
        <v>41642</v>
      </c>
      <c r="N139" t="n">
        <v>3</v>
      </c>
      <c r="O139" t="inlineStr">
        <is>
          <t xml:space="preserve"> March </t>
        </is>
      </c>
      <c r="P139" t="n">
        <v>2014</v>
      </c>
      <c r="Q139">
        <f>IF(Financials[[#This Row],[ Units_Sold ]]&lt;&gt;INT(Financials[[#This Row],[ Units_Sold ]]),1,0)</f>
        <v/>
      </c>
      <c r="R139" s="10">
        <f>Financials[[#This Row],[ Profit ]]/Financials[[#This Row],[  Sales ]]</f>
        <v/>
      </c>
      <c r="S139" s="2">
        <f>Financials[[#This Row],[ COGS ]]/Financials[[#This Row],[  Sales ]]</f>
        <v/>
      </c>
      <c r="T139" s="3">
        <f>Financials[[#This Row],[ Discounts ]]/Financials[[#This Row],[  Sales ]]</f>
        <v/>
      </c>
      <c r="U139">
        <f>Financials[[#This Row],[  Sales ]]/Financials[[#This Row],[ Units_Sold ]]</f>
        <v/>
      </c>
      <c r="V139">
        <f>Financials[[#This Row],[ Profit ]]/Financials[[#This Row],[ Units_Sold ]]</f>
        <v/>
      </c>
      <c r="W139">
        <f>IF(Financials[[#This Row],[ Profit ]]&lt;0,1,0)</f>
        <v/>
      </c>
    </row>
    <row r="140">
      <c r="A140" t="inlineStr">
        <is>
          <t>Small Business</t>
        </is>
      </c>
      <c r="B140" t="inlineStr">
        <is>
          <t>Mexico</t>
        </is>
      </c>
      <c r="C140" t="inlineStr">
        <is>
          <t xml:space="preserve"> Amarilla </t>
        </is>
      </c>
      <c r="D140" t="inlineStr">
        <is>
          <t xml:space="preserve"> Low </t>
        </is>
      </c>
      <c r="E140" t="n">
        <v>1101</v>
      </c>
      <c r="F140" s="69" t="n">
        <v>260</v>
      </c>
      <c r="G140" s="69" t="n">
        <v>300</v>
      </c>
      <c r="H140" s="69" t="n">
        <v>330300</v>
      </c>
      <c r="I140" s="5" t="n">
        <v>6606</v>
      </c>
      <c r="J140" s="69" t="n">
        <v>323694</v>
      </c>
      <c r="K140" s="69" t="n">
        <v>275250</v>
      </c>
      <c r="L140" s="69" t="n">
        <v>48444</v>
      </c>
      <c r="M140" s="1" t="n">
        <v>41642</v>
      </c>
      <c r="N140" t="n">
        <v>3</v>
      </c>
      <c r="O140" t="inlineStr">
        <is>
          <t xml:space="preserve"> March </t>
        </is>
      </c>
      <c r="P140" t="n">
        <v>2014</v>
      </c>
      <c r="Q140">
        <f>IF(Financials[[#This Row],[ Units_Sold ]]&lt;&gt;INT(Financials[[#This Row],[ Units_Sold ]]),1,0)</f>
        <v/>
      </c>
      <c r="R140" s="10">
        <f>Financials[[#This Row],[ Profit ]]/Financials[[#This Row],[  Sales ]]</f>
        <v/>
      </c>
      <c r="S140" s="2">
        <f>Financials[[#This Row],[ COGS ]]/Financials[[#This Row],[  Sales ]]</f>
        <v/>
      </c>
      <c r="T140" s="3">
        <f>Financials[[#This Row],[ Discounts ]]/Financials[[#This Row],[  Sales ]]</f>
        <v/>
      </c>
      <c r="U140">
        <f>Financials[[#This Row],[  Sales ]]/Financials[[#This Row],[ Units_Sold ]]</f>
        <v/>
      </c>
      <c r="V140">
        <f>Financials[[#This Row],[ Profit ]]/Financials[[#This Row],[ Units_Sold ]]</f>
        <v/>
      </c>
      <c r="W140">
        <f>IF(Financials[[#This Row],[ Profit ]]&lt;0,1,0)</f>
        <v/>
      </c>
    </row>
    <row r="141">
      <c r="A141" t="inlineStr">
        <is>
          <t>Enterprise</t>
        </is>
      </c>
      <c r="B141" t="inlineStr">
        <is>
          <t>Germany</t>
        </is>
      </c>
      <c r="C141" t="inlineStr">
        <is>
          <t xml:space="preserve"> Amarilla </t>
        </is>
      </c>
      <c r="D141" t="inlineStr">
        <is>
          <t xml:space="preserve"> Low </t>
        </is>
      </c>
      <c r="E141" t="n">
        <v>2276</v>
      </c>
      <c r="F141" s="69" t="n">
        <v>260</v>
      </c>
      <c r="G141" s="69" t="n">
        <v>125</v>
      </c>
      <c r="H141" s="69" t="n">
        <v>284500</v>
      </c>
      <c r="I141" s="5" t="n">
        <v>5690</v>
      </c>
      <c r="J141" s="69" t="n">
        <v>278810</v>
      </c>
      <c r="K141" s="69" t="n">
        <v>273120</v>
      </c>
      <c r="L141" s="69" t="n">
        <v>5690</v>
      </c>
      <c r="M141" s="1" t="n">
        <v>41644</v>
      </c>
      <c r="N141" t="n">
        <v>5</v>
      </c>
      <c r="O141" t="inlineStr">
        <is>
          <t xml:space="preserve"> May </t>
        </is>
      </c>
      <c r="P141" t="n">
        <v>2014</v>
      </c>
      <c r="Q141">
        <f>IF(Financials[[#This Row],[ Units_Sold ]]&lt;&gt;INT(Financials[[#This Row],[ Units_Sold ]]),1,0)</f>
        <v/>
      </c>
      <c r="R141" s="10">
        <f>Financials[[#This Row],[ Profit ]]/Financials[[#This Row],[  Sales ]]</f>
        <v/>
      </c>
      <c r="S141" s="2">
        <f>Financials[[#This Row],[ COGS ]]/Financials[[#This Row],[  Sales ]]</f>
        <v/>
      </c>
      <c r="T141" s="3">
        <f>Financials[[#This Row],[ Discounts ]]/Financials[[#This Row],[  Sales ]]</f>
        <v/>
      </c>
      <c r="U141">
        <f>Financials[[#This Row],[  Sales ]]/Financials[[#This Row],[ Units_Sold ]]</f>
        <v/>
      </c>
      <c r="V141">
        <f>Financials[[#This Row],[ Profit ]]/Financials[[#This Row],[ Units_Sold ]]</f>
        <v/>
      </c>
      <c r="W141">
        <f>IF(Financials[[#This Row],[ Profit ]]&lt;0,1,0)</f>
        <v/>
      </c>
    </row>
    <row r="142">
      <c r="A142" t="inlineStr">
        <is>
          <t>Government</t>
        </is>
      </c>
      <c r="B142" t="inlineStr">
        <is>
          <t>Germany</t>
        </is>
      </c>
      <c r="C142" t="inlineStr">
        <is>
          <t xml:space="preserve"> Amarilla </t>
        </is>
      </c>
      <c r="D142" t="inlineStr">
        <is>
          <t xml:space="preserve"> Low </t>
        </is>
      </c>
      <c r="E142" t="n">
        <v>2966</v>
      </c>
      <c r="F142" s="69" t="n">
        <v>260</v>
      </c>
      <c r="G142" s="69" t="n">
        <v>350</v>
      </c>
      <c r="H142" s="69" t="n">
        <v>1038100</v>
      </c>
      <c r="I142" s="5" t="n">
        <v>20762</v>
      </c>
      <c r="J142" s="69" t="n">
        <v>1017338</v>
      </c>
      <c r="K142" s="69" t="n">
        <v>771160</v>
      </c>
      <c r="L142" s="69" t="n">
        <v>246178</v>
      </c>
      <c r="M142" s="1" t="n">
        <v>41284</v>
      </c>
      <c r="N142" t="n">
        <v>10</v>
      </c>
      <c r="O142" t="inlineStr">
        <is>
          <t xml:space="preserve"> October </t>
        </is>
      </c>
      <c r="P142" t="n">
        <v>2013</v>
      </c>
      <c r="Q142">
        <f>IF(Financials[[#This Row],[ Units_Sold ]]&lt;&gt;INT(Financials[[#This Row],[ Units_Sold ]]),1,0)</f>
        <v/>
      </c>
      <c r="R142" s="10">
        <f>Financials[[#This Row],[ Profit ]]/Financials[[#This Row],[  Sales ]]</f>
        <v/>
      </c>
      <c r="S142" s="2">
        <f>Financials[[#This Row],[ COGS ]]/Financials[[#This Row],[  Sales ]]</f>
        <v/>
      </c>
      <c r="T142" s="3">
        <f>Financials[[#This Row],[ Discounts ]]/Financials[[#This Row],[  Sales ]]</f>
        <v/>
      </c>
      <c r="U142">
        <f>Financials[[#This Row],[  Sales ]]/Financials[[#This Row],[ Units_Sold ]]</f>
        <v/>
      </c>
      <c r="V142">
        <f>Financials[[#This Row],[ Profit ]]/Financials[[#This Row],[ Units_Sold ]]</f>
        <v/>
      </c>
      <c r="W142">
        <f>IF(Financials[[#This Row],[ Profit ]]&lt;0,1,0)</f>
        <v/>
      </c>
    </row>
    <row r="143">
      <c r="A143" t="inlineStr">
        <is>
          <t>Government</t>
        </is>
      </c>
      <c r="B143" t="inlineStr">
        <is>
          <t>United States of America</t>
        </is>
      </c>
      <c r="C143" t="inlineStr">
        <is>
          <t xml:space="preserve"> Amarilla </t>
        </is>
      </c>
      <c r="D143" t="inlineStr">
        <is>
          <t xml:space="preserve"> Low </t>
        </is>
      </c>
      <c r="E143" t="n">
        <v>1236</v>
      </c>
      <c r="F143" s="69" t="n">
        <v>260</v>
      </c>
      <c r="G143" s="69" t="n">
        <v>20</v>
      </c>
      <c r="H143" s="69" t="n">
        <v>24720</v>
      </c>
      <c r="I143" s="5" t="n">
        <v>494.4</v>
      </c>
      <c r="J143" s="69" t="n">
        <v>24225.6</v>
      </c>
      <c r="K143" s="69" t="n">
        <v>12360</v>
      </c>
      <c r="L143" s="69" t="n">
        <v>11865.6</v>
      </c>
      <c r="M143" s="1" t="n">
        <v>41650</v>
      </c>
      <c r="N143" t="n">
        <v>11</v>
      </c>
      <c r="O143" t="inlineStr">
        <is>
          <t xml:space="preserve"> November </t>
        </is>
      </c>
      <c r="P143" t="n">
        <v>2014</v>
      </c>
      <c r="Q143">
        <f>IF(Financials[[#This Row],[ Units_Sold ]]&lt;&gt;INT(Financials[[#This Row],[ Units_Sold ]]),1,0)</f>
        <v/>
      </c>
      <c r="R143" s="10">
        <f>Financials[[#This Row],[ Profit ]]/Financials[[#This Row],[  Sales ]]</f>
        <v/>
      </c>
      <c r="S143" s="2">
        <f>Financials[[#This Row],[ COGS ]]/Financials[[#This Row],[  Sales ]]</f>
        <v/>
      </c>
      <c r="T143" s="3">
        <f>Financials[[#This Row],[ Discounts ]]/Financials[[#This Row],[  Sales ]]</f>
        <v/>
      </c>
      <c r="U143">
        <f>Financials[[#This Row],[  Sales ]]/Financials[[#This Row],[ Units_Sold ]]</f>
        <v/>
      </c>
      <c r="V143">
        <f>Financials[[#This Row],[ Profit ]]/Financials[[#This Row],[ Units_Sold ]]</f>
        <v/>
      </c>
      <c r="W143">
        <f>IF(Financials[[#This Row],[ Profit ]]&lt;0,1,0)</f>
        <v/>
      </c>
    </row>
    <row r="144">
      <c r="A144" t="inlineStr">
        <is>
          <t>Government</t>
        </is>
      </c>
      <c r="B144" t="inlineStr">
        <is>
          <t>France</t>
        </is>
      </c>
      <c r="C144" t="inlineStr">
        <is>
          <t xml:space="preserve"> Amarilla </t>
        </is>
      </c>
      <c r="D144" t="inlineStr">
        <is>
          <t xml:space="preserve"> Low </t>
        </is>
      </c>
      <c r="E144" t="n">
        <v>941</v>
      </c>
      <c r="F144" s="69" t="n">
        <v>260</v>
      </c>
      <c r="G144" s="69" t="n">
        <v>20</v>
      </c>
      <c r="H144" s="69" t="n">
        <v>18820</v>
      </c>
      <c r="I144" s="5" t="n">
        <v>376.4</v>
      </c>
      <c r="J144" s="69" t="n">
        <v>18443.6</v>
      </c>
      <c r="K144" s="69" t="n">
        <v>9410</v>
      </c>
      <c r="L144" s="69" t="n">
        <v>9033.6</v>
      </c>
      <c r="M144" s="1" t="n">
        <v>41650</v>
      </c>
      <c r="N144" t="n">
        <v>11</v>
      </c>
      <c r="O144" t="inlineStr">
        <is>
          <t xml:space="preserve"> November </t>
        </is>
      </c>
      <c r="P144" t="n">
        <v>2014</v>
      </c>
      <c r="Q144">
        <f>IF(Financials[[#This Row],[ Units_Sold ]]&lt;&gt;INT(Financials[[#This Row],[ Units_Sold ]]),1,0)</f>
        <v/>
      </c>
      <c r="R144" s="10">
        <f>Financials[[#This Row],[ Profit ]]/Financials[[#This Row],[  Sales ]]</f>
        <v/>
      </c>
      <c r="S144" s="2">
        <f>Financials[[#This Row],[ COGS ]]/Financials[[#This Row],[  Sales ]]</f>
        <v/>
      </c>
      <c r="T144" s="3">
        <f>Financials[[#This Row],[ Discounts ]]/Financials[[#This Row],[  Sales ]]</f>
        <v/>
      </c>
      <c r="U144">
        <f>Financials[[#This Row],[  Sales ]]/Financials[[#This Row],[ Units_Sold ]]</f>
        <v/>
      </c>
      <c r="V144">
        <f>Financials[[#This Row],[ Profit ]]/Financials[[#This Row],[ Units_Sold ]]</f>
        <v/>
      </c>
      <c r="W144">
        <f>IF(Financials[[#This Row],[ Profit ]]&lt;0,1,0)</f>
        <v/>
      </c>
    </row>
    <row r="145">
      <c r="A145" t="inlineStr">
        <is>
          <t>Small Business</t>
        </is>
      </c>
      <c r="B145" t="inlineStr">
        <is>
          <t>Canada</t>
        </is>
      </c>
      <c r="C145" t="inlineStr">
        <is>
          <t xml:space="preserve"> Amarilla </t>
        </is>
      </c>
      <c r="D145" t="inlineStr">
        <is>
          <t xml:space="preserve"> Low </t>
        </is>
      </c>
      <c r="E145" t="n">
        <v>1916</v>
      </c>
      <c r="F145" s="69" t="n">
        <v>260</v>
      </c>
      <c r="G145" s="69" t="n">
        <v>300</v>
      </c>
      <c r="H145" s="69" t="n">
        <v>574800</v>
      </c>
      <c r="I145" s="5" t="n">
        <v>11496</v>
      </c>
      <c r="J145" s="69" t="n">
        <v>563304</v>
      </c>
      <c r="K145" s="69" t="n">
        <v>479000</v>
      </c>
      <c r="L145" s="69" t="n">
        <v>84304</v>
      </c>
      <c r="M145" s="1" t="n">
        <v>41651</v>
      </c>
      <c r="N145" t="n">
        <v>12</v>
      </c>
      <c r="O145" t="inlineStr">
        <is>
          <t xml:space="preserve"> December </t>
        </is>
      </c>
      <c r="P145" t="n">
        <v>2014</v>
      </c>
      <c r="Q145">
        <f>IF(Financials[[#This Row],[ Units_Sold ]]&lt;&gt;INT(Financials[[#This Row],[ Units_Sold ]]),1,0)</f>
        <v/>
      </c>
      <c r="R145" s="10">
        <f>Financials[[#This Row],[ Profit ]]/Financials[[#This Row],[  Sales ]]</f>
        <v/>
      </c>
      <c r="S145" s="2">
        <f>Financials[[#This Row],[ COGS ]]/Financials[[#This Row],[  Sales ]]</f>
        <v/>
      </c>
      <c r="T145" s="3">
        <f>Financials[[#This Row],[ Discounts ]]/Financials[[#This Row],[  Sales ]]</f>
        <v/>
      </c>
      <c r="U145">
        <f>Financials[[#This Row],[  Sales ]]/Financials[[#This Row],[ Units_Sold ]]</f>
        <v/>
      </c>
      <c r="V145">
        <f>Financials[[#This Row],[ Profit ]]/Financials[[#This Row],[ Units_Sold ]]</f>
        <v/>
      </c>
      <c r="W145">
        <f>IF(Financials[[#This Row],[ Profit ]]&lt;0,1,0)</f>
        <v/>
      </c>
    </row>
    <row r="146">
      <c r="A146" t="inlineStr">
        <is>
          <t>Enterprise</t>
        </is>
      </c>
      <c r="B146" t="inlineStr">
        <is>
          <t>France</t>
        </is>
      </c>
      <c r="C146" t="inlineStr">
        <is>
          <t xml:space="preserve"> Carretera </t>
        </is>
      </c>
      <c r="D146" t="inlineStr">
        <is>
          <t xml:space="preserve"> Low </t>
        </is>
      </c>
      <c r="E146" t="n">
        <v>4243.5</v>
      </c>
      <c r="F146" s="69" t="n">
        <v>3</v>
      </c>
      <c r="G146" s="69" t="n">
        <v>125</v>
      </c>
      <c r="H146" s="69" t="n">
        <v>530437.5</v>
      </c>
      <c r="I146" s="5" t="n">
        <v>15913.13</v>
      </c>
      <c r="J146" s="69" t="n">
        <v>514524.38</v>
      </c>
      <c r="K146" s="69" t="n">
        <v>509220</v>
      </c>
      <c r="L146" s="69" t="n">
        <v>5304.38</v>
      </c>
      <c r="M146" s="1" t="n">
        <v>41643</v>
      </c>
      <c r="N146" t="n">
        <v>4</v>
      </c>
      <c r="O146" t="inlineStr">
        <is>
          <t xml:space="preserve"> April </t>
        </is>
      </c>
      <c r="P146" t="n">
        <v>2014</v>
      </c>
      <c r="Q146">
        <f>IF(Financials[[#This Row],[ Units_Sold ]]&lt;&gt;INT(Financials[[#This Row],[ Units_Sold ]]),1,0)</f>
        <v/>
      </c>
      <c r="R146" s="10">
        <f>Financials[[#This Row],[ Profit ]]/Financials[[#This Row],[  Sales ]]</f>
        <v/>
      </c>
      <c r="S146" s="2">
        <f>Financials[[#This Row],[ COGS ]]/Financials[[#This Row],[  Sales ]]</f>
        <v/>
      </c>
      <c r="T146" s="3">
        <f>Financials[[#This Row],[ Discounts ]]/Financials[[#This Row],[  Sales ]]</f>
        <v/>
      </c>
      <c r="U146">
        <f>Financials[[#This Row],[  Sales ]]/Financials[[#This Row],[ Units_Sold ]]</f>
        <v/>
      </c>
      <c r="V146">
        <f>Financials[[#This Row],[ Profit ]]/Financials[[#This Row],[ Units_Sold ]]</f>
        <v/>
      </c>
      <c r="W146">
        <f>IF(Financials[[#This Row],[ Profit ]]&lt;0,1,0)</f>
        <v/>
      </c>
    </row>
    <row r="147">
      <c r="A147" t="inlineStr">
        <is>
          <t>Government</t>
        </is>
      </c>
      <c r="B147" t="inlineStr">
        <is>
          <t>Germany</t>
        </is>
      </c>
      <c r="C147" t="inlineStr">
        <is>
          <t xml:space="preserve"> Carretera </t>
        </is>
      </c>
      <c r="D147" t="inlineStr">
        <is>
          <t xml:space="preserve"> Low </t>
        </is>
      </c>
      <c r="E147" t="n">
        <v>2580</v>
      </c>
      <c r="F147" s="69" t="n">
        <v>3</v>
      </c>
      <c r="G147" s="69" t="n">
        <v>20</v>
      </c>
      <c r="H147" s="69" t="n">
        <v>51600</v>
      </c>
      <c r="I147" s="5" t="n">
        <v>1548</v>
      </c>
      <c r="J147" s="69" t="n">
        <v>50052</v>
      </c>
      <c r="K147" s="69" t="n">
        <v>25800</v>
      </c>
      <c r="L147" s="69" t="n">
        <v>24252</v>
      </c>
      <c r="M147" s="1" t="n">
        <v>41643</v>
      </c>
      <c r="N147" t="n">
        <v>4</v>
      </c>
      <c r="O147" t="inlineStr">
        <is>
          <t xml:space="preserve"> April </t>
        </is>
      </c>
      <c r="P147" t="n">
        <v>2014</v>
      </c>
      <c r="Q147">
        <f>IF(Financials[[#This Row],[ Units_Sold ]]&lt;&gt;INT(Financials[[#This Row],[ Units_Sold ]]),1,0)</f>
        <v/>
      </c>
      <c r="R147" s="10">
        <f>Financials[[#This Row],[ Profit ]]/Financials[[#This Row],[  Sales ]]</f>
        <v/>
      </c>
      <c r="S147" s="2">
        <f>Financials[[#This Row],[ COGS ]]/Financials[[#This Row],[  Sales ]]</f>
        <v/>
      </c>
      <c r="T147" s="3">
        <f>Financials[[#This Row],[ Discounts ]]/Financials[[#This Row],[  Sales ]]</f>
        <v/>
      </c>
      <c r="U147">
        <f>Financials[[#This Row],[  Sales ]]/Financials[[#This Row],[ Units_Sold ]]</f>
        <v/>
      </c>
      <c r="V147">
        <f>Financials[[#This Row],[ Profit ]]/Financials[[#This Row],[ Units_Sold ]]</f>
        <v/>
      </c>
      <c r="W147">
        <f>IF(Financials[[#This Row],[ Profit ]]&lt;0,1,0)</f>
        <v/>
      </c>
    </row>
    <row r="148">
      <c r="A148" t="inlineStr">
        <is>
          <t>Small Business</t>
        </is>
      </c>
      <c r="B148" t="inlineStr">
        <is>
          <t>Germany</t>
        </is>
      </c>
      <c r="C148" t="inlineStr">
        <is>
          <t xml:space="preserve"> Carretera </t>
        </is>
      </c>
      <c r="D148" t="inlineStr">
        <is>
          <t xml:space="preserve"> Low </t>
        </is>
      </c>
      <c r="E148" t="n">
        <v>689</v>
      </c>
      <c r="F148" s="69" t="n">
        <v>3</v>
      </c>
      <c r="G148" s="69" t="n">
        <v>300</v>
      </c>
      <c r="H148" s="69" t="n">
        <v>206700</v>
      </c>
      <c r="I148" s="5" t="n">
        <v>6201</v>
      </c>
      <c r="J148" s="69" t="n">
        <v>200499</v>
      </c>
      <c r="K148" s="69" t="n">
        <v>172250</v>
      </c>
      <c r="L148" s="69" t="n">
        <v>28249</v>
      </c>
      <c r="M148" s="1" t="n">
        <v>41645</v>
      </c>
      <c r="N148" t="n">
        <v>6</v>
      </c>
      <c r="O148" t="inlineStr">
        <is>
          <t xml:space="preserve"> June </t>
        </is>
      </c>
      <c r="P148" t="n">
        <v>2014</v>
      </c>
      <c r="Q148">
        <f>IF(Financials[[#This Row],[ Units_Sold ]]&lt;&gt;INT(Financials[[#This Row],[ Units_Sold ]]),1,0)</f>
        <v/>
      </c>
      <c r="R148" s="10">
        <f>Financials[[#This Row],[ Profit ]]/Financials[[#This Row],[  Sales ]]</f>
        <v/>
      </c>
      <c r="S148" s="2">
        <f>Financials[[#This Row],[ COGS ]]/Financials[[#This Row],[  Sales ]]</f>
        <v/>
      </c>
      <c r="T148" s="3">
        <f>Financials[[#This Row],[ Discounts ]]/Financials[[#This Row],[  Sales ]]</f>
        <v/>
      </c>
      <c r="U148">
        <f>Financials[[#This Row],[  Sales ]]/Financials[[#This Row],[ Units_Sold ]]</f>
        <v/>
      </c>
      <c r="V148">
        <f>Financials[[#This Row],[ Profit ]]/Financials[[#This Row],[ Units_Sold ]]</f>
        <v/>
      </c>
      <c r="W148">
        <f>IF(Financials[[#This Row],[ Profit ]]&lt;0,1,0)</f>
        <v/>
      </c>
    </row>
    <row r="149">
      <c r="A149" t="inlineStr">
        <is>
          <t>Channel Partners</t>
        </is>
      </c>
      <c r="B149" t="inlineStr">
        <is>
          <t>United States of America</t>
        </is>
      </c>
      <c r="C149" t="inlineStr">
        <is>
          <t xml:space="preserve"> Carretera </t>
        </is>
      </c>
      <c r="D149" t="inlineStr">
        <is>
          <t xml:space="preserve"> Low </t>
        </is>
      </c>
      <c r="E149" t="n">
        <v>1947</v>
      </c>
      <c r="F149" s="69" t="n">
        <v>3</v>
      </c>
      <c r="G149" s="69" t="n">
        <v>12</v>
      </c>
      <c r="H149" s="69" t="n">
        <v>23364</v>
      </c>
      <c r="I149" s="5" t="n">
        <v>700.92</v>
      </c>
      <c r="J149" s="69" t="n">
        <v>22663.08</v>
      </c>
      <c r="K149" s="69" t="n">
        <v>5841</v>
      </c>
      <c r="L149" s="69" t="n">
        <v>16822.08</v>
      </c>
      <c r="M149" s="1" t="n">
        <v>41648</v>
      </c>
      <c r="N149" t="n">
        <v>9</v>
      </c>
      <c r="O149" t="inlineStr">
        <is>
          <t xml:space="preserve"> September </t>
        </is>
      </c>
      <c r="P149" t="n">
        <v>2014</v>
      </c>
      <c r="Q149">
        <f>IF(Financials[[#This Row],[ Units_Sold ]]&lt;&gt;INT(Financials[[#This Row],[ Units_Sold ]]),1,0)</f>
        <v/>
      </c>
      <c r="R149" s="10">
        <f>Financials[[#This Row],[ Profit ]]/Financials[[#This Row],[  Sales ]]</f>
        <v/>
      </c>
      <c r="S149" s="2">
        <f>Financials[[#This Row],[ COGS ]]/Financials[[#This Row],[  Sales ]]</f>
        <v/>
      </c>
      <c r="T149" s="3">
        <f>Financials[[#This Row],[ Discounts ]]/Financials[[#This Row],[  Sales ]]</f>
        <v/>
      </c>
      <c r="U149">
        <f>Financials[[#This Row],[  Sales ]]/Financials[[#This Row],[ Units_Sold ]]</f>
        <v/>
      </c>
      <c r="V149">
        <f>Financials[[#This Row],[ Profit ]]/Financials[[#This Row],[ Units_Sold ]]</f>
        <v/>
      </c>
      <c r="W149">
        <f>IF(Financials[[#This Row],[ Profit ]]&lt;0,1,0)</f>
        <v/>
      </c>
    </row>
    <row r="150">
      <c r="A150" t="inlineStr">
        <is>
          <t>Channel Partners</t>
        </is>
      </c>
      <c r="B150" t="inlineStr">
        <is>
          <t>Canada</t>
        </is>
      </c>
      <c r="C150" t="inlineStr">
        <is>
          <t xml:space="preserve"> Carretera </t>
        </is>
      </c>
      <c r="D150" t="inlineStr">
        <is>
          <t xml:space="preserve"> Low </t>
        </is>
      </c>
      <c r="E150" t="n">
        <v>908</v>
      </c>
      <c r="F150" s="69" t="n">
        <v>3</v>
      </c>
      <c r="G150" s="69" t="n">
        <v>12</v>
      </c>
      <c r="H150" s="69" t="n">
        <v>10896</v>
      </c>
      <c r="I150" s="5" t="n">
        <v>326.88</v>
      </c>
      <c r="J150" s="69" t="n">
        <v>10569.12</v>
      </c>
      <c r="K150" s="69" t="n">
        <v>2724</v>
      </c>
      <c r="L150" s="69" t="n">
        <v>7845.12</v>
      </c>
      <c r="M150" s="1" t="n">
        <v>41286</v>
      </c>
      <c r="N150" t="n">
        <v>12</v>
      </c>
      <c r="O150" t="inlineStr">
        <is>
          <t xml:space="preserve"> December </t>
        </is>
      </c>
      <c r="P150" t="n">
        <v>2013</v>
      </c>
      <c r="Q150">
        <f>IF(Financials[[#This Row],[ Units_Sold ]]&lt;&gt;INT(Financials[[#This Row],[ Units_Sold ]]),1,0)</f>
        <v/>
      </c>
      <c r="R150" s="10">
        <f>Financials[[#This Row],[ Profit ]]/Financials[[#This Row],[  Sales ]]</f>
        <v/>
      </c>
      <c r="S150" s="2">
        <f>Financials[[#This Row],[ COGS ]]/Financials[[#This Row],[  Sales ]]</f>
        <v/>
      </c>
      <c r="T150" s="3">
        <f>Financials[[#This Row],[ Discounts ]]/Financials[[#This Row],[  Sales ]]</f>
        <v/>
      </c>
      <c r="U150">
        <f>Financials[[#This Row],[  Sales ]]/Financials[[#This Row],[ Units_Sold ]]</f>
        <v/>
      </c>
      <c r="V150">
        <f>Financials[[#This Row],[ Profit ]]/Financials[[#This Row],[ Units_Sold ]]</f>
        <v/>
      </c>
      <c r="W150">
        <f>IF(Financials[[#This Row],[ Profit ]]&lt;0,1,0)</f>
        <v/>
      </c>
    </row>
    <row r="151">
      <c r="A151" t="inlineStr">
        <is>
          <t>Government</t>
        </is>
      </c>
      <c r="B151" t="inlineStr">
        <is>
          <t>Germany</t>
        </is>
      </c>
      <c r="C151" t="inlineStr">
        <is>
          <t xml:space="preserve"> Montana </t>
        </is>
      </c>
      <c r="D151" t="inlineStr">
        <is>
          <t xml:space="preserve"> Low </t>
        </is>
      </c>
      <c r="E151" t="n">
        <v>1958</v>
      </c>
      <c r="F151" s="69" t="n">
        <v>5</v>
      </c>
      <c r="G151" s="69" t="n">
        <v>7</v>
      </c>
      <c r="H151" s="69" t="n">
        <v>13706</v>
      </c>
      <c r="I151" s="5" t="n">
        <v>411.18</v>
      </c>
      <c r="J151" s="69" t="n">
        <v>13294.82</v>
      </c>
      <c r="K151" s="69" t="n">
        <v>9790</v>
      </c>
      <c r="L151" s="69" t="n">
        <v>3504.82</v>
      </c>
      <c r="M151" s="1" t="n">
        <v>41641</v>
      </c>
      <c r="N151" t="n">
        <v>2</v>
      </c>
      <c r="O151" t="inlineStr">
        <is>
          <t xml:space="preserve"> February </t>
        </is>
      </c>
      <c r="P151" t="n">
        <v>2014</v>
      </c>
      <c r="Q151">
        <f>IF(Financials[[#This Row],[ Units_Sold ]]&lt;&gt;INT(Financials[[#This Row],[ Units_Sold ]]),1,0)</f>
        <v/>
      </c>
      <c r="R151" s="10">
        <f>Financials[[#This Row],[ Profit ]]/Financials[[#This Row],[  Sales ]]</f>
        <v/>
      </c>
      <c r="S151" s="2">
        <f>Financials[[#This Row],[ COGS ]]/Financials[[#This Row],[  Sales ]]</f>
        <v/>
      </c>
      <c r="T151" s="3">
        <f>Financials[[#This Row],[ Discounts ]]/Financials[[#This Row],[  Sales ]]</f>
        <v/>
      </c>
      <c r="U151">
        <f>Financials[[#This Row],[  Sales ]]/Financials[[#This Row],[ Units_Sold ]]</f>
        <v/>
      </c>
      <c r="V151">
        <f>Financials[[#This Row],[ Profit ]]/Financials[[#This Row],[ Units_Sold ]]</f>
        <v/>
      </c>
      <c r="W151">
        <f>IF(Financials[[#This Row],[ Profit ]]&lt;0,1,0)</f>
        <v/>
      </c>
    </row>
    <row r="152">
      <c r="A152" t="inlineStr">
        <is>
          <t>Channel Partners</t>
        </is>
      </c>
      <c r="B152" t="inlineStr">
        <is>
          <t>France</t>
        </is>
      </c>
      <c r="C152" t="inlineStr">
        <is>
          <t xml:space="preserve"> Montana </t>
        </is>
      </c>
      <c r="D152" t="inlineStr">
        <is>
          <t xml:space="preserve"> Low </t>
        </is>
      </c>
      <c r="E152" t="n">
        <v>1901</v>
      </c>
      <c r="F152" s="69" t="n">
        <v>5</v>
      </c>
      <c r="G152" s="69" t="n">
        <v>12</v>
      </c>
      <c r="H152" s="69" t="n">
        <v>22812</v>
      </c>
      <c r="I152" s="5" t="n">
        <v>684.36</v>
      </c>
      <c r="J152" s="69" t="n">
        <v>22127.64</v>
      </c>
      <c r="K152" s="69" t="n">
        <v>5703</v>
      </c>
      <c r="L152" s="69" t="n">
        <v>16424.64</v>
      </c>
      <c r="M152" s="1" t="n">
        <v>41645</v>
      </c>
      <c r="N152" t="n">
        <v>6</v>
      </c>
      <c r="O152" t="inlineStr">
        <is>
          <t xml:space="preserve"> June </t>
        </is>
      </c>
      <c r="P152" t="n">
        <v>2014</v>
      </c>
      <c r="Q152">
        <f>IF(Financials[[#This Row],[ Units_Sold ]]&lt;&gt;INT(Financials[[#This Row],[ Units_Sold ]]),1,0)</f>
        <v/>
      </c>
      <c r="R152" s="10">
        <f>Financials[[#This Row],[ Profit ]]/Financials[[#This Row],[  Sales ]]</f>
        <v/>
      </c>
      <c r="S152" s="2">
        <f>Financials[[#This Row],[ COGS ]]/Financials[[#This Row],[  Sales ]]</f>
        <v/>
      </c>
      <c r="T152" s="3">
        <f>Financials[[#This Row],[ Discounts ]]/Financials[[#This Row],[  Sales ]]</f>
        <v/>
      </c>
      <c r="U152">
        <f>Financials[[#This Row],[  Sales ]]/Financials[[#This Row],[ Units_Sold ]]</f>
        <v/>
      </c>
      <c r="V152">
        <f>Financials[[#This Row],[ Profit ]]/Financials[[#This Row],[ Units_Sold ]]</f>
        <v/>
      </c>
      <c r="W152">
        <f>IF(Financials[[#This Row],[ Profit ]]&lt;0,1,0)</f>
        <v/>
      </c>
    </row>
    <row r="153">
      <c r="A153" t="inlineStr">
        <is>
          <t>Government</t>
        </is>
      </c>
      <c r="B153" t="inlineStr">
        <is>
          <t>France</t>
        </is>
      </c>
      <c r="C153" t="inlineStr">
        <is>
          <t xml:space="preserve"> Montana </t>
        </is>
      </c>
      <c r="D153" t="inlineStr">
        <is>
          <t xml:space="preserve"> Low </t>
        </is>
      </c>
      <c r="E153" t="n">
        <v>544</v>
      </c>
      <c r="F153" s="69" t="n">
        <v>5</v>
      </c>
      <c r="G153" s="69" t="n">
        <v>7</v>
      </c>
      <c r="H153" s="69" t="n">
        <v>3808</v>
      </c>
      <c r="I153" s="5" t="n">
        <v>114.24</v>
      </c>
      <c r="J153" s="69" t="n">
        <v>3693.76</v>
      </c>
      <c r="K153" s="69" t="n">
        <v>2720</v>
      </c>
      <c r="L153" s="69" t="n">
        <v>973.76</v>
      </c>
      <c r="M153" s="1" t="n">
        <v>41648</v>
      </c>
      <c r="N153" t="n">
        <v>9</v>
      </c>
      <c r="O153" t="inlineStr">
        <is>
          <t xml:space="preserve"> September </t>
        </is>
      </c>
      <c r="P153" t="n">
        <v>2014</v>
      </c>
      <c r="Q153">
        <f>IF(Financials[[#This Row],[ Units_Sold ]]&lt;&gt;INT(Financials[[#This Row],[ Units_Sold ]]),1,0)</f>
        <v/>
      </c>
      <c r="R153" s="10">
        <f>Financials[[#This Row],[ Profit ]]/Financials[[#This Row],[  Sales ]]</f>
        <v/>
      </c>
      <c r="S153" s="2">
        <f>Financials[[#This Row],[ COGS ]]/Financials[[#This Row],[  Sales ]]</f>
        <v/>
      </c>
      <c r="T153" s="3">
        <f>Financials[[#This Row],[ Discounts ]]/Financials[[#This Row],[  Sales ]]</f>
        <v/>
      </c>
      <c r="U153">
        <f>Financials[[#This Row],[  Sales ]]/Financials[[#This Row],[ Units_Sold ]]</f>
        <v/>
      </c>
      <c r="V153">
        <f>Financials[[#This Row],[ Profit ]]/Financials[[#This Row],[ Units_Sold ]]</f>
        <v/>
      </c>
      <c r="W153">
        <f>IF(Financials[[#This Row],[ Profit ]]&lt;0,1,0)</f>
        <v/>
      </c>
    </row>
    <row r="154">
      <c r="A154" t="inlineStr">
        <is>
          <t>Government</t>
        </is>
      </c>
      <c r="B154" t="inlineStr">
        <is>
          <t>Germany</t>
        </is>
      </c>
      <c r="C154" t="inlineStr">
        <is>
          <t xml:space="preserve"> Montana </t>
        </is>
      </c>
      <c r="D154" t="inlineStr">
        <is>
          <t xml:space="preserve"> Low </t>
        </is>
      </c>
      <c r="E154" t="n">
        <v>1797</v>
      </c>
      <c r="F154" s="69" t="n">
        <v>5</v>
      </c>
      <c r="G154" s="69" t="n">
        <v>350</v>
      </c>
      <c r="H154" s="69" t="n">
        <v>628950</v>
      </c>
      <c r="I154" s="5" t="n">
        <v>18868.5</v>
      </c>
      <c r="J154" s="69" t="n">
        <v>610081.5</v>
      </c>
      <c r="K154" s="69" t="n">
        <v>467220</v>
      </c>
      <c r="L154" s="69" t="n">
        <v>142861.5</v>
      </c>
      <c r="M154" s="1" t="n">
        <v>41283</v>
      </c>
      <c r="N154" t="n">
        <v>9</v>
      </c>
      <c r="O154" t="inlineStr">
        <is>
          <t xml:space="preserve"> September </t>
        </is>
      </c>
      <c r="P154" t="n">
        <v>2013</v>
      </c>
      <c r="Q154">
        <f>IF(Financials[[#This Row],[ Units_Sold ]]&lt;&gt;INT(Financials[[#This Row],[ Units_Sold ]]),1,0)</f>
        <v/>
      </c>
      <c r="R154" s="10">
        <f>Financials[[#This Row],[ Profit ]]/Financials[[#This Row],[  Sales ]]</f>
        <v/>
      </c>
      <c r="S154" s="2">
        <f>Financials[[#This Row],[ COGS ]]/Financials[[#This Row],[  Sales ]]</f>
        <v/>
      </c>
      <c r="T154" s="3">
        <f>Financials[[#This Row],[ Discounts ]]/Financials[[#This Row],[  Sales ]]</f>
        <v/>
      </c>
      <c r="U154">
        <f>Financials[[#This Row],[  Sales ]]/Financials[[#This Row],[ Units_Sold ]]</f>
        <v/>
      </c>
      <c r="V154">
        <f>Financials[[#This Row],[ Profit ]]/Financials[[#This Row],[ Units_Sold ]]</f>
        <v/>
      </c>
      <c r="W154">
        <f>IF(Financials[[#This Row],[ Profit ]]&lt;0,1,0)</f>
        <v/>
      </c>
    </row>
    <row r="155">
      <c r="A155" t="inlineStr">
        <is>
          <t>Enterprise</t>
        </is>
      </c>
      <c r="B155" t="inlineStr">
        <is>
          <t>France</t>
        </is>
      </c>
      <c r="C155" t="inlineStr">
        <is>
          <t xml:space="preserve"> Montana </t>
        </is>
      </c>
      <c r="D155" t="inlineStr">
        <is>
          <t xml:space="preserve"> Low </t>
        </is>
      </c>
      <c r="E155" t="n">
        <v>1287</v>
      </c>
      <c r="F155" s="69" t="n">
        <v>5</v>
      </c>
      <c r="G155" s="69" t="n">
        <v>125</v>
      </c>
      <c r="H155" s="69" t="n">
        <v>160875</v>
      </c>
      <c r="I155" s="5" t="n">
        <v>4826.25</v>
      </c>
      <c r="J155" s="69" t="n">
        <v>156048.75</v>
      </c>
      <c r="K155" s="69" t="n">
        <v>154440</v>
      </c>
      <c r="L155" s="69" t="n">
        <v>1608.75</v>
      </c>
      <c r="M155" s="1" t="n">
        <v>41651</v>
      </c>
      <c r="N155" t="n">
        <v>12</v>
      </c>
      <c r="O155" t="inlineStr">
        <is>
          <t xml:space="preserve"> December </t>
        </is>
      </c>
      <c r="P155" t="n">
        <v>2014</v>
      </c>
      <c r="Q155">
        <f>IF(Financials[[#This Row],[ Units_Sold ]]&lt;&gt;INT(Financials[[#This Row],[ Units_Sold ]]),1,0)</f>
        <v/>
      </c>
      <c r="R155" s="10">
        <f>Financials[[#This Row],[ Profit ]]/Financials[[#This Row],[  Sales ]]</f>
        <v/>
      </c>
      <c r="S155" s="2">
        <f>Financials[[#This Row],[ COGS ]]/Financials[[#This Row],[  Sales ]]</f>
        <v/>
      </c>
      <c r="T155" s="3">
        <f>Financials[[#This Row],[ Discounts ]]/Financials[[#This Row],[  Sales ]]</f>
        <v/>
      </c>
      <c r="U155">
        <f>Financials[[#This Row],[  Sales ]]/Financials[[#This Row],[ Units_Sold ]]</f>
        <v/>
      </c>
      <c r="V155">
        <f>Financials[[#This Row],[ Profit ]]/Financials[[#This Row],[ Units_Sold ]]</f>
        <v/>
      </c>
      <c r="W155">
        <f>IF(Financials[[#This Row],[ Profit ]]&lt;0,1,0)</f>
        <v/>
      </c>
    </row>
    <row r="156">
      <c r="A156" t="inlineStr">
        <is>
          <t>Enterprise</t>
        </is>
      </c>
      <c r="B156" t="inlineStr">
        <is>
          <t>Germany</t>
        </is>
      </c>
      <c r="C156" t="inlineStr">
        <is>
          <t xml:space="preserve"> Montana </t>
        </is>
      </c>
      <c r="D156" t="inlineStr">
        <is>
          <t xml:space="preserve"> Low </t>
        </is>
      </c>
      <c r="E156" t="n">
        <v>1706</v>
      </c>
      <c r="F156" s="69" t="n">
        <v>5</v>
      </c>
      <c r="G156" s="69" t="n">
        <v>125</v>
      </c>
      <c r="H156" s="69" t="n">
        <v>213250</v>
      </c>
      <c r="I156" s="5" t="n">
        <v>6397.5</v>
      </c>
      <c r="J156" s="69" t="n">
        <v>206852.5</v>
      </c>
      <c r="K156" s="69" t="n">
        <v>204720</v>
      </c>
      <c r="L156" s="69" t="n">
        <v>2132.5</v>
      </c>
      <c r="M156" s="1" t="n">
        <v>41651</v>
      </c>
      <c r="N156" t="n">
        <v>12</v>
      </c>
      <c r="O156" t="inlineStr">
        <is>
          <t xml:space="preserve"> December </t>
        </is>
      </c>
      <c r="P156" t="n">
        <v>2014</v>
      </c>
      <c r="Q156">
        <f>IF(Financials[[#This Row],[ Units_Sold ]]&lt;&gt;INT(Financials[[#This Row],[ Units_Sold ]]),1,0)</f>
        <v/>
      </c>
      <c r="R156" s="10">
        <f>Financials[[#This Row],[ Profit ]]/Financials[[#This Row],[  Sales ]]</f>
        <v/>
      </c>
      <c r="S156" s="2">
        <f>Financials[[#This Row],[ COGS ]]/Financials[[#This Row],[  Sales ]]</f>
        <v/>
      </c>
      <c r="T156" s="3">
        <f>Financials[[#This Row],[ Discounts ]]/Financials[[#This Row],[  Sales ]]</f>
        <v/>
      </c>
      <c r="U156">
        <f>Financials[[#This Row],[  Sales ]]/Financials[[#This Row],[ Units_Sold ]]</f>
        <v/>
      </c>
      <c r="V156">
        <f>Financials[[#This Row],[ Profit ]]/Financials[[#This Row],[ Units_Sold ]]</f>
        <v/>
      </c>
      <c r="W156">
        <f>IF(Financials[[#This Row],[ Profit ]]&lt;0,1,0)</f>
        <v/>
      </c>
    </row>
    <row r="157">
      <c r="A157" t="inlineStr">
        <is>
          <t>Small Business</t>
        </is>
      </c>
      <c r="B157" t="inlineStr">
        <is>
          <t>France</t>
        </is>
      </c>
      <c r="C157" t="inlineStr">
        <is>
          <t xml:space="preserve"> Paseo </t>
        </is>
      </c>
      <c r="D157" t="inlineStr">
        <is>
          <t xml:space="preserve"> Low </t>
        </is>
      </c>
      <c r="E157" t="n">
        <v>2434.5</v>
      </c>
      <c r="F157" s="69" t="n">
        <v>10</v>
      </c>
      <c r="G157" s="69" t="n">
        <v>300</v>
      </c>
      <c r="H157" s="69" t="n">
        <v>730350</v>
      </c>
      <c r="I157" s="5" t="n">
        <v>21910.5</v>
      </c>
      <c r="J157" s="69" t="n">
        <v>708439.5</v>
      </c>
      <c r="K157" s="69" t="n">
        <v>608625</v>
      </c>
      <c r="L157" s="69" t="n">
        <v>99814.5</v>
      </c>
      <c r="M157" s="1" t="n">
        <v>41640</v>
      </c>
      <c r="N157" t="n">
        <v>1</v>
      </c>
      <c r="O157" t="inlineStr">
        <is>
          <t xml:space="preserve"> January </t>
        </is>
      </c>
      <c r="P157" t="n">
        <v>2014</v>
      </c>
      <c r="Q157">
        <f>IF(Financials[[#This Row],[ Units_Sold ]]&lt;&gt;INT(Financials[[#This Row],[ Units_Sold ]]),1,0)</f>
        <v/>
      </c>
      <c r="R157" s="10">
        <f>Financials[[#This Row],[ Profit ]]/Financials[[#This Row],[  Sales ]]</f>
        <v/>
      </c>
      <c r="S157" s="2">
        <f>Financials[[#This Row],[ COGS ]]/Financials[[#This Row],[  Sales ]]</f>
        <v/>
      </c>
      <c r="T157" s="3">
        <f>Financials[[#This Row],[ Discounts ]]/Financials[[#This Row],[  Sales ]]</f>
        <v/>
      </c>
      <c r="U157">
        <f>Financials[[#This Row],[  Sales ]]/Financials[[#This Row],[ Units_Sold ]]</f>
        <v/>
      </c>
      <c r="V157">
        <f>Financials[[#This Row],[ Profit ]]/Financials[[#This Row],[ Units_Sold ]]</f>
        <v/>
      </c>
      <c r="W157">
        <f>IF(Financials[[#This Row],[ Profit ]]&lt;0,1,0)</f>
        <v/>
      </c>
    </row>
    <row r="158">
      <c r="A158" t="inlineStr">
        <is>
          <t>Enterprise</t>
        </is>
      </c>
      <c r="B158" t="inlineStr">
        <is>
          <t>Canada</t>
        </is>
      </c>
      <c r="C158" t="inlineStr">
        <is>
          <t xml:space="preserve"> Paseo </t>
        </is>
      </c>
      <c r="D158" t="inlineStr">
        <is>
          <t xml:space="preserve"> Low </t>
        </is>
      </c>
      <c r="E158" t="n">
        <v>1774</v>
      </c>
      <c r="F158" s="69" t="n">
        <v>10</v>
      </c>
      <c r="G158" s="69" t="n">
        <v>125</v>
      </c>
      <c r="H158" s="69" t="n">
        <v>221750</v>
      </c>
      <c r="I158" s="5" t="n">
        <v>6652.5</v>
      </c>
      <c r="J158" s="69" t="n">
        <v>215097.5</v>
      </c>
      <c r="K158" s="69" t="n">
        <v>212880</v>
      </c>
      <c r="L158" s="69" t="n">
        <v>2217.5</v>
      </c>
      <c r="M158" s="1" t="n">
        <v>41642</v>
      </c>
      <c r="N158" t="n">
        <v>3</v>
      </c>
      <c r="O158" t="inlineStr">
        <is>
          <t xml:space="preserve"> March </t>
        </is>
      </c>
      <c r="P158" t="n">
        <v>2014</v>
      </c>
      <c r="Q158">
        <f>IF(Financials[[#This Row],[ Units_Sold ]]&lt;&gt;INT(Financials[[#This Row],[ Units_Sold ]]),1,0)</f>
        <v/>
      </c>
      <c r="R158" s="10">
        <f>Financials[[#This Row],[ Profit ]]/Financials[[#This Row],[  Sales ]]</f>
        <v/>
      </c>
      <c r="S158" s="2">
        <f>Financials[[#This Row],[ COGS ]]/Financials[[#This Row],[  Sales ]]</f>
        <v/>
      </c>
      <c r="T158" s="3">
        <f>Financials[[#This Row],[ Discounts ]]/Financials[[#This Row],[  Sales ]]</f>
        <v/>
      </c>
      <c r="U158">
        <f>Financials[[#This Row],[  Sales ]]/Financials[[#This Row],[ Units_Sold ]]</f>
        <v/>
      </c>
      <c r="V158">
        <f>Financials[[#This Row],[ Profit ]]/Financials[[#This Row],[ Units_Sold ]]</f>
        <v/>
      </c>
      <c r="W158">
        <f>IF(Financials[[#This Row],[ Profit ]]&lt;0,1,0)</f>
        <v/>
      </c>
    </row>
    <row r="159">
      <c r="A159" t="inlineStr">
        <is>
          <t>Channel Partners</t>
        </is>
      </c>
      <c r="B159" t="inlineStr">
        <is>
          <t>France</t>
        </is>
      </c>
      <c r="C159" t="inlineStr">
        <is>
          <t xml:space="preserve"> Paseo </t>
        </is>
      </c>
      <c r="D159" t="inlineStr">
        <is>
          <t xml:space="preserve"> Low </t>
        </is>
      </c>
      <c r="E159" t="n">
        <v>1901</v>
      </c>
      <c r="F159" s="69" t="n">
        <v>10</v>
      </c>
      <c r="G159" s="69" t="n">
        <v>12</v>
      </c>
      <c r="H159" s="69" t="n">
        <v>22812</v>
      </c>
      <c r="I159" s="5" t="n">
        <v>684.36</v>
      </c>
      <c r="J159" s="69" t="n">
        <v>22127.64</v>
      </c>
      <c r="K159" s="69" t="n">
        <v>5703</v>
      </c>
      <c r="L159" s="69" t="n">
        <v>16424.64</v>
      </c>
      <c r="M159" s="1" t="n">
        <v>41645</v>
      </c>
      <c r="N159" t="n">
        <v>6</v>
      </c>
      <c r="O159" t="inlineStr">
        <is>
          <t xml:space="preserve"> June </t>
        </is>
      </c>
      <c r="P159" t="n">
        <v>2014</v>
      </c>
      <c r="Q159">
        <f>IF(Financials[[#This Row],[ Units_Sold ]]&lt;&gt;INT(Financials[[#This Row],[ Units_Sold ]]),1,0)</f>
        <v/>
      </c>
      <c r="R159" s="10">
        <f>Financials[[#This Row],[ Profit ]]/Financials[[#This Row],[  Sales ]]</f>
        <v/>
      </c>
      <c r="S159" s="2">
        <f>Financials[[#This Row],[ COGS ]]/Financials[[#This Row],[  Sales ]]</f>
        <v/>
      </c>
      <c r="T159" s="3">
        <f>Financials[[#This Row],[ Discounts ]]/Financials[[#This Row],[  Sales ]]</f>
        <v/>
      </c>
      <c r="U159">
        <f>Financials[[#This Row],[  Sales ]]/Financials[[#This Row],[ Units_Sold ]]</f>
        <v/>
      </c>
      <c r="V159">
        <f>Financials[[#This Row],[ Profit ]]/Financials[[#This Row],[ Units_Sold ]]</f>
        <v/>
      </c>
      <c r="W159">
        <f>IF(Financials[[#This Row],[ Profit ]]&lt;0,1,0)</f>
        <v/>
      </c>
    </row>
    <row r="160">
      <c r="A160" t="inlineStr">
        <is>
          <t>Small Business</t>
        </is>
      </c>
      <c r="B160" t="inlineStr">
        <is>
          <t>Germany</t>
        </is>
      </c>
      <c r="C160" t="inlineStr">
        <is>
          <t xml:space="preserve"> Paseo </t>
        </is>
      </c>
      <c r="D160" t="inlineStr">
        <is>
          <t xml:space="preserve"> Low </t>
        </is>
      </c>
      <c r="E160" t="n">
        <v>689</v>
      </c>
      <c r="F160" s="69" t="n">
        <v>10</v>
      </c>
      <c r="G160" s="69" t="n">
        <v>300</v>
      </c>
      <c r="H160" s="69" t="n">
        <v>206700</v>
      </c>
      <c r="I160" s="5" t="n">
        <v>6201</v>
      </c>
      <c r="J160" s="69" t="n">
        <v>200499</v>
      </c>
      <c r="K160" s="69" t="n">
        <v>172250</v>
      </c>
      <c r="L160" s="69" t="n">
        <v>28249</v>
      </c>
      <c r="M160" s="1" t="n">
        <v>41645</v>
      </c>
      <c r="N160" t="n">
        <v>6</v>
      </c>
      <c r="O160" t="inlineStr">
        <is>
          <t xml:space="preserve"> June </t>
        </is>
      </c>
      <c r="P160" t="n">
        <v>2014</v>
      </c>
      <c r="Q160">
        <f>IF(Financials[[#This Row],[ Units_Sold ]]&lt;&gt;INT(Financials[[#This Row],[ Units_Sold ]]),1,0)</f>
        <v/>
      </c>
      <c r="R160" s="10">
        <f>Financials[[#This Row],[ Profit ]]/Financials[[#This Row],[  Sales ]]</f>
        <v/>
      </c>
      <c r="S160" s="2">
        <f>Financials[[#This Row],[ COGS ]]/Financials[[#This Row],[  Sales ]]</f>
        <v/>
      </c>
      <c r="T160" s="3">
        <f>Financials[[#This Row],[ Discounts ]]/Financials[[#This Row],[  Sales ]]</f>
        <v/>
      </c>
      <c r="U160">
        <f>Financials[[#This Row],[  Sales ]]/Financials[[#This Row],[ Units_Sold ]]</f>
        <v/>
      </c>
      <c r="V160">
        <f>Financials[[#This Row],[ Profit ]]/Financials[[#This Row],[ Units_Sold ]]</f>
        <v/>
      </c>
      <c r="W160">
        <f>IF(Financials[[#This Row],[ Profit ]]&lt;0,1,0)</f>
        <v/>
      </c>
    </row>
    <row r="161">
      <c r="A161" t="inlineStr">
        <is>
          <t>Enterprise</t>
        </is>
      </c>
      <c r="B161" t="inlineStr">
        <is>
          <t>Germany</t>
        </is>
      </c>
      <c r="C161" t="inlineStr">
        <is>
          <t xml:space="preserve"> Paseo </t>
        </is>
      </c>
      <c r="D161" t="inlineStr">
        <is>
          <t xml:space="preserve"> Low </t>
        </is>
      </c>
      <c r="E161" t="n">
        <v>1570</v>
      </c>
      <c r="F161" s="69" t="n">
        <v>10</v>
      </c>
      <c r="G161" s="69" t="n">
        <v>125</v>
      </c>
      <c r="H161" s="69" t="n">
        <v>196250</v>
      </c>
      <c r="I161" s="5" t="n">
        <v>5887.5</v>
      </c>
      <c r="J161" s="69" t="n">
        <v>190362.5</v>
      </c>
      <c r="K161" s="69" t="n">
        <v>188400</v>
      </c>
      <c r="L161" s="69" t="n">
        <v>1962.5</v>
      </c>
      <c r="M161" s="1" t="n">
        <v>41645</v>
      </c>
      <c r="N161" t="n">
        <v>6</v>
      </c>
      <c r="O161" t="inlineStr">
        <is>
          <t xml:space="preserve"> June </t>
        </is>
      </c>
      <c r="P161" t="n">
        <v>2014</v>
      </c>
      <c r="Q161">
        <f>IF(Financials[[#This Row],[ Units_Sold ]]&lt;&gt;INT(Financials[[#This Row],[ Units_Sold ]]),1,0)</f>
        <v/>
      </c>
      <c r="R161" s="10">
        <f>Financials[[#This Row],[ Profit ]]/Financials[[#This Row],[  Sales ]]</f>
        <v/>
      </c>
      <c r="S161" s="2">
        <f>Financials[[#This Row],[ COGS ]]/Financials[[#This Row],[  Sales ]]</f>
        <v/>
      </c>
      <c r="T161" s="3">
        <f>Financials[[#This Row],[ Discounts ]]/Financials[[#This Row],[  Sales ]]</f>
        <v/>
      </c>
      <c r="U161">
        <f>Financials[[#This Row],[  Sales ]]/Financials[[#This Row],[ Units_Sold ]]</f>
        <v/>
      </c>
      <c r="V161">
        <f>Financials[[#This Row],[ Profit ]]/Financials[[#This Row],[ Units_Sold ]]</f>
        <v/>
      </c>
      <c r="W161">
        <f>IF(Financials[[#This Row],[ Profit ]]&lt;0,1,0)</f>
        <v/>
      </c>
    </row>
    <row r="162">
      <c r="A162" t="inlineStr">
        <is>
          <t>Channel Partners</t>
        </is>
      </c>
      <c r="B162" t="inlineStr">
        <is>
          <t>United States of America</t>
        </is>
      </c>
      <c r="C162" t="inlineStr">
        <is>
          <t xml:space="preserve"> Paseo </t>
        </is>
      </c>
      <c r="D162" t="inlineStr">
        <is>
          <t xml:space="preserve"> Low </t>
        </is>
      </c>
      <c r="E162" t="n">
        <v>1369.5</v>
      </c>
      <c r="F162" s="69" t="n">
        <v>10</v>
      </c>
      <c r="G162" s="69" t="n">
        <v>12</v>
      </c>
      <c r="H162" s="69" t="n">
        <v>16434</v>
      </c>
      <c r="I162" s="5" t="n">
        <v>493.02</v>
      </c>
      <c r="J162" s="69" t="n">
        <v>15940.98</v>
      </c>
      <c r="K162" s="69" t="n">
        <v>4108.5</v>
      </c>
      <c r="L162" s="69" t="n">
        <v>11832.48</v>
      </c>
      <c r="M162" s="1" t="n">
        <v>41646</v>
      </c>
      <c r="N162" t="n">
        <v>7</v>
      </c>
      <c r="O162" t="inlineStr">
        <is>
          <t xml:space="preserve"> July </t>
        </is>
      </c>
      <c r="P162" t="n">
        <v>2014</v>
      </c>
      <c r="Q162">
        <f>IF(Financials[[#This Row],[ Units_Sold ]]&lt;&gt;INT(Financials[[#This Row],[ Units_Sold ]]),1,0)</f>
        <v/>
      </c>
      <c r="R162" s="10">
        <f>Financials[[#This Row],[ Profit ]]/Financials[[#This Row],[  Sales ]]</f>
        <v/>
      </c>
      <c r="S162" s="2">
        <f>Financials[[#This Row],[ COGS ]]/Financials[[#This Row],[  Sales ]]</f>
        <v/>
      </c>
      <c r="T162" s="3">
        <f>Financials[[#This Row],[ Discounts ]]/Financials[[#This Row],[  Sales ]]</f>
        <v/>
      </c>
      <c r="U162">
        <f>Financials[[#This Row],[  Sales ]]/Financials[[#This Row],[ Units_Sold ]]</f>
        <v/>
      </c>
      <c r="V162">
        <f>Financials[[#This Row],[ Profit ]]/Financials[[#This Row],[ Units_Sold ]]</f>
        <v/>
      </c>
      <c r="W162">
        <f>IF(Financials[[#This Row],[ Profit ]]&lt;0,1,0)</f>
        <v/>
      </c>
    </row>
    <row r="163">
      <c r="A163" t="inlineStr">
        <is>
          <t>Enterprise</t>
        </is>
      </c>
      <c r="B163" t="inlineStr">
        <is>
          <t>Canada</t>
        </is>
      </c>
      <c r="C163" t="inlineStr">
        <is>
          <t xml:space="preserve"> Paseo </t>
        </is>
      </c>
      <c r="D163" t="inlineStr">
        <is>
          <t xml:space="preserve"> Low </t>
        </is>
      </c>
      <c r="E163" t="n">
        <v>2009</v>
      </c>
      <c r="F163" s="69" t="n">
        <v>10</v>
      </c>
      <c r="G163" s="69" t="n">
        <v>125</v>
      </c>
      <c r="H163" s="69" t="n">
        <v>251125</v>
      </c>
      <c r="I163" s="5" t="n">
        <v>7533.75</v>
      </c>
      <c r="J163" s="69" t="n">
        <v>243591.25</v>
      </c>
      <c r="K163" s="69" t="n">
        <v>241080</v>
      </c>
      <c r="L163" s="69" t="n">
        <v>2511.25</v>
      </c>
      <c r="M163" s="1" t="n">
        <v>41649</v>
      </c>
      <c r="N163" t="n">
        <v>10</v>
      </c>
      <c r="O163" t="inlineStr">
        <is>
          <t xml:space="preserve"> October </t>
        </is>
      </c>
      <c r="P163" t="n">
        <v>2014</v>
      </c>
      <c r="Q163">
        <f>IF(Financials[[#This Row],[ Units_Sold ]]&lt;&gt;INT(Financials[[#This Row],[ Units_Sold ]]),1,0)</f>
        <v/>
      </c>
      <c r="R163" s="10">
        <f>Financials[[#This Row],[ Profit ]]/Financials[[#This Row],[  Sales ]]</f>
        <v/>
      </c>
      <c r="S163" s="2">
        <f>Financials[[#This Row],[ COGS ]]/Financials[[#This Row],[  Sales ]]</f>
        <v/>
      </c>
      <c r="T163" s="3">
        <f>Financials[[#This Row],[ Discounts ]]/Financials[[#This Row],[  Sales ]]</f>
        <v/>
      </c>
      <c r="U163">
        <f>Financials[[#This Row],[  Sales ]]/Financials[[#This Row],[ Units_Sold ]]</f>
        <v/>
      </c>
      <c r="V163">
        <f>Financials[[#This Row],[ Profit ]]/Financials[[#This Row],[ Units_Sold ]]</f>
        <v/>
      </c>
      <c r="W163">
        <f>IF(Financials[[#This Row],[ Profit ]]&lt;0,1,0)</f>
        <v/>
      </c>
    </row>
    <row r="164">
      <c r="A164" t="inlineStr">
        <is>
          <t>Midmarket</t>
        </is>
      </c>
      <c r="B164" t="inlineStr">
        <is>
          <t>Germany</t>
        </is>
      </c>
      <c r="C164" t="inlineStr">
        <is>
          <t xml:space="preserve"> Paseo </t>
        </is>
      </c>
      <c r="D164" t="inlineStr">
        <is>
          <t xml:space="preserve"> Low </t>
        </is>
      </c>
      <c r="E164" t="n">
        <v>1945</v>
      </c>
      <c r="F164" s="69" t="n">
        <v>10</v>
      </c>
      <c r="G164" s="69" t="n">
        <v>15</v>
      </c>
      <c r="H164" s="69" t="n">
        <v>29175</v>
      </c>
      <c r="I164" s="5" t="n">
        <v>875.25</v>
      </c>
      <c r="J164" s="69" t="n">
        <v>28299.75</v>
      </c>
      <c r="K164" s="69" t="n">
        <v>19450</v>
      </c>
      <c r="L164" s="69" t="n">
        <v>8849.75</v>
      </c>
      <c r="M164" s="1" t="n">
        <v>41284</v>
      </c>
      <c r="N164" t="n">
        <v>10</v>
      </c>
      <c r="O164" t="inlineStr">
        <is>
          <t xml:space="preserve"> October </t>
        </is>
      </c>
      <c r="P164" t="n">
        <v>2013</v>
      </c>
      <c r="Q164">
        <f>IF(Financials[[#This Row],[ Units_Sold ]]&lt;&gt;INT(Financials[[#This Row],[ Units_Sold ]]),1,0)</f>
        <v/>
      </c>
      <c r="R164" s="10">
        <f>Financials[[#This Row],[ Profit ]]/Financials[[#This Row],[  Sales ]]</f>
        <v/>
      </c>
      <c r="S164" s="2">
        <f>Financials[[#This Row],[ COGS ]]/Financials[[#This Row],[  Sales ]]</f>
        <v/>
      </c>
      <c r="T164" s="3">
        <f>Financials[[#This Row],[ Discounts ]]/Financials[[#This Row],[  Sales ]]</f>
        <v/>
      </c>
      <c r="U164">
        <f>Financials[[#This Row],[  Sales ]]/Financials[[#This Row],[ Units_Sold ]]</f>
        <v/>
      </c>
      <c r="V164">
        <f>Financials[[#This Row],[ Profit ]]/Financials[[#This Row],[ Units_Sold ]]</f>
        <v/>
      </c>
      <c r="W164">
        <f>IF(Financials[[#This Row],[ Profit ]]&lt;0,1,0)</f>
        <v/>
      </c>
    </row>
    <row r="165">
      <c r="A165" t="inlineStr">
        <is>
          <t>Enterprise</t>
        </is>
      </c>
      <c r="B165" t="inlineStr">
        <is>
          <t>France</t>
        </is>
      </c>
      <c r="C165" t="inlineStr">
        <is>
          <t xml:space="preserve"> Paseo </t>
        </is>
      </c>
      <c r="D165" t="inlineStr">
        <is>
          <t xml:space="preserve"> Low </t>
        </is>
      </c>
      <c r="E165" t="n">
        <v>1287</v>
      </c>
      <c r="F165" s="69" t="n">
        <v>10</v>
      </c>
      <c r="G165" s="69" t="n">
        <v>125</v>
      </c>
      <c r="H165" s="69" t="n">
        <v>160875</v>
      </c>
      <c r="I165" s="5" t="n">
        <v>4826.25</v>
      </c>
      <c r="J165" s="69" t="n">
        <v>156048.75</v>
      </c>
      <c r="K165" s="69" t="n">
        <v>154440</v>
      </c>
      <c r="L165" s="69" t="n">
        <v>1608.75</v>
      </c>
      <c r="M165" s="1" t="n">
        <v>41651</v>
      </c>
      <c r="N165" t="n">
        <v>12</v>
      </c>
      <c r="O165" t="inlineStr">
        <is>
          <t xml:space="preserve"> December </t>
        </is>
      </c>
      <c r="P165" t="n">
        <v>2014</v>
      </c>
      <c r="Q165">
        <f>IF(Financials[[#This Row],[ Units_Sold ]]&lt;&gt;INT(Financials[[#This Row],[ Units_Sold ]]),1,0)</f>
        <v/>
      </c>
      <c r="R165" s="10">
        <f>Financials[[#This Row],[ Profit ]]/Financials[[#This Row],[  Sales ]]</f>
        <v/>
      </c>
      <c r="S165" s="2">
        <f>Financials[[#This Row],[ COGS ]]/Financials[[#This Row],[  Sales ]]</f>
        <v/>
      </c>
      <c r="T165" s="3">
        <f>Financials[[#This Row],[ Discounts ]]/Financials[[#This Row],[  Sales ]]</f>
        <v/>
      </c>
      <c r="U165">
        <f>Financials[[#This Row],[  Sales ]]/Financials[[#This Row],[ Units_Sold ]]</f>
        <v/>
      </c>
      <c r="V165">
        <f>Financials[[#This Row],[ Profit ]]/Financials[[#This Row],[ Units_Sold ]]</f>
        <v/>
      </c>
      <c r="W165">
        <f>IF(Financials[[#This Row],[ Profit ]]&lt;0,1,0)</f>
        <v/>
      </c>
    </row>
    <row r="166">
      <c r="A166" t="inlineStr">
        <is>
          <t>Enterprise</t>
        </is>
      </c>
      <c r="B166" t="inlineStr">
        <is>
          <t>Germany</t>
        </is>
      </c>
      <c r="C166" t="inlineStr">
        <is>
          <t xml:space="preserve"> Paseo </t>
        </is>
      </c>
      <c r="D166" t="inlineStr">
        <is>
          <t xml:space="preserve"> Low </t>
        </is>
      </c>
      <c r="E166" t="n">
        <v>1706</v>
      </c>
      <c r="F166" s="69" t="n">
        <v>10</v>
      </c>
      <c r="G166" s="69" t="n">
        <v>125</v>
      </c>
      <c r="H166" s="69" t="n">
        <v>213250</v>
      </c>
      <c r="I166" s="5" t="n">
        <v>6397.5</v>
      </c>
      <c r="J166" s="69" t="n">
        <v>206852.5</v>
      </c>
      <c r="K166" s="69" t="n">
        <v>204720</v>
      </c>
      <c r="L166" s="69" t="n">
        <v>2132.5</v>
      </c>
      <c r="M166" s="1" t="n">
        <v>41651</v>
      </c>
      <c r="N166" t="n">
        <v>12</v>
      </c>
      <c r="O166" t="inlineStr">
        <is>
          <t xml:space="preserve"> December </t>
        </is>
      </c>
      <c r="P166" t="n">
        <v>2014</v>
      </c>
      <c r="Q166">
        <f>IF(Financials[[#This Row],[ Units_Sold ]]&lt;&gt;INT(Financials[[#This Row],[ Units_Sold ]]),1,0)</f>
        <v/>
      </c>
      <c r="R166" s="10">
        <f>Financials[[#This Row],[ Profit ]]/Financials[[#This Row],[  Sales ]]</f>
        <v/>
      </c>
      <c r="S166" s="2">
        <f>Financials[[#This Row],[ COGS ]]/Financials[[#This Row],[  Sales ]]</f>
        <v/>
      </c>
      <c r="T166" s="3">
        <f>Financials[[#This Row],[ Discounts ]]/Financials[[#This Row],[  Sales ]]</f>
        <v/>
      </c>
      <c r="U166">
        <f>Financials[[#This Row],[  Sales ]]/Financials[[#This Row],[ Units_Sold ]]</f>
        <v/>
      </c>
      <c r="V166">
        <f>Financials[[#This Row],[ Profit ]]/Financials[[#This Row],[ Units_Sold ]]</f>
        <v/>
      </c>
      <c r="W166">
        <f>IF(Financials[[#This Row],[ Profit ]]&lt;0,1,0)</f>
        <v/>
      </c>
    </row>
    <row r="167">
      <c r="A167" t="inlineStr">
        <is>
          <t>Enterprise</t>
        </is>
      </c>
      <c r="B167" t="inlineStr">
        <is>
          <t>Canada</t>
        </is>
      </c>
      <c r="C167" t="inlineStr">
        <is>
          <t xml:space="preserve"> Velo </t>
        </is>
      </c>
      <c r="D167" t="inlineStr">
        <is>
          <t xml:space="preserve"> Low </t>
        </is>
      </c>
      <c r="E167" t="n">
        <v>2009</v>
      </c>
      <c r="F167" s="69" t="n">
        <v>120</v>
      </c>
      <c r="G167" s="69" t="n">
        <v>125</v>
      </c>
      <c r="H167" s="69" t="n">
        <v>251125</v>
      </c>
      <c r="I167" s="5" t="n">
        <v>7533.75</v>
      </c>
      <c r="J167" s="69" t="n">
        <v>243591.25</v>
      </c>
      <c r="K167" s="69" t="n">
        <v>241080</v>
      </c>
      <c r="L167" s="69" t="n">
        <v>2511.25</v>
      </c>
      <c r="M167" s="1" t="n">
        <v>41649</v>
      </c>
      <c r="N167" t="n">
        <v>10</v>
      </c>
      <c r="O167" t="inlineStr">
        <is>
          <t xml:space="preserve"> October </t>
        </is>
      </c>
      <c r="P167" t="n">
        <v>2014</v>
      </c>
      <c r="Q167">
        <f>IF(Financials[[#This Row],[ Units_Sold ]]&lt;&gt;INT(Financials[[#This Row],[ Units_Sold ]]),1,0)</f>
        <v/>
      </c>
      <c r="R167" s="10">
        <f>Financials[[#This Row],[ Profit ]]/Financials[[#This Row],[  Sales ]]</f>
        <v/>
      </c>
      <c r="S167" s="2">
        <f>Financials[[#This Row],[ COGS ]]/Financials[[#This Row],[  Sales ]]</f>
        <v/>
      </c>
      <c r="T167" s="3">
        <f>Financials[[#This Row],[ Discounts ]]/Financials[[#This Row],[  Sales ]]</f>
        <v/>
      </c>
      <c r="U167">
        <f>Financials[[#This Row],[  Sales ]]/Financials[[#This Row],[ Units_Sold ]]</f>
        <v/>
      </c>
      <c r="V167">
        <f>Financials[[#This Row],[ Profit ]]/Financials[[#This Row],[ Units_Sold ]]</f>
        <v/>
      </c>
      <c r="W167">
        <f>IF(Financials[[#This Row],[ Profit ]]&lt;0,1,0)</f>
        <v/>
      </c>
    </row>
    <row r="168">
      <c r="A168" t="inlineStr">
        <is>
          <t>Small Business</t>
        </is>
      </c>
      <c r="B168" t="inlineStr">
        <is>
          <t>United States of America</t>
        </is>
      </c>
      <c r="C168" t="inlineStr">
        <is>
          <t xml:space="preserve"> VTT </t>
        </is>
      </c>
      <c r="D168" t="inlineStr">
        <is>
          <t xml:space="preserve"> Low </t>
        </is>
      </c>
      <c r="E168" t="n">
        <v>2844</v>
      </c>
      <c r="F168" s="69" t="n">
        <v>250</v>
      </c>
      <c r="G168" s="69" t="n">
        <v>300</v>
      </c>
      <c r="H168" s="69" t="n">
        <v>853200</v>
      </c>
      <c r="I168" s="5" t="n">
        <v>25596</v>
      </c>
      <c r="J168" s="69" t="n">
        <v>827604</v>
      </c>
      <c r="K168" s="69" t="n">
        <v>711000</v>
      </c>
      <c r="L168" s="69" t="n">
        <v>116604</v>
      </c>
      <c r="M168" s="1" t="n">
        <v>41641</v>
      </c>
      <c r="N168" t="n">
        <v>2</v>
      </c>
      <c r="O168" t="inlineStr">
        <is>
          <t xml:space="preserve"> February </t>
        </is>
      </c>
      <c r="P168" t="n">
        <v>2014</v>
      </c>
      <c r="Q168">
        <f>IF(Financials[[#This Row],[ Units_Sold ]]&lt;&gt;INT(Financials[[#This Row],[ Units_Sold ]]),1,0)</f>
        <v/>
      </c>
      <c r="R168" s="10">
        <f>Financials[[#This Row],[ Profit ]]/Financials[[#This Row],[  Sales ]]</f>
        <v/>
      </c>
      <c r="S168" s="2">
        <f>Financials[[#This Row],[ COGS ]]/Financials[[#This Row],[  Sales ]]</f>
        <v/>
      </c>
      <c r="T168" s="3">
        <f>Financials[[#This Row],[ Discounts ]]/Financials[[#This Row],[  Sales ]]</f>
        <v/>
      </c>
      <c r="U168">
        <f>Financials[[#This Row],[  Sales ]]/Financials[[#This Row],[ Units_Sold ]]</f>
        <v/>
      </c>
      <c r="V168">
        <f>Financials[[#This Row],[ Profit ]]/Financials[[#This Row],[ Units_Sold ]]</f>
        <v/>
      </c>
      <c r="W168">
        <f>IF(Financials[[#This Row],[ Profit ]]&lt;0,1,0)</f>
        <v/>
      </c>
    </row>
    <row r="169">
      <c r="A169" t="inlineStr">
        <is>
          <t>Channel Partners</t>
        </is>
      </c>
      <c r="B169" t="inlineStr">
        <is>
          <t>Mexico</t>
        </is>
      </c>
      <c r="C169" t="inlineStr">
        <is>
          <t xml:space="preserve"> VTT </t>
        </is>
      </c>
      <c r="D169" t="inlineStr">
        <is>
          <t xml:space="preserve"> Low </t>
        </is>
      </c>
      <c r="E169" t="n">
        <v>1916</v>
      </c>
      <c r="F169" s="69" t="n">
        <v>250</v>
      </c>
      <c r="G169" s="69" t="n">
        <v>12</v>
      </c>
      <c r="H169" s="69" t="n">
        <v>22992</v>
      </c>
      <c r="I169" s="5" t="n">
        <v>689.76</v>
      </c>
      <c r="J169" s="69" t="n">
        <v>22302.24</v>
      </c>
      <c r="K169" s="69" t="n">
        <v>5748</v>
      </c>
      <c r="L169" s="69" t="n">
        <v>16554.24</v>
      </c>
      <c r="M169" s="1" t="n">
        <v>41643</v>
      </c>
      <c r="N169" t="n">
        <v>4</v>
      </c>
      <c r="O169" t="inlineStr">
        <is>
          <t xml:space="preserve"> April </t>
        </is>
      </c>
      <c r="P169" t="n">
        <v>2014</v>
      </c>
      <c r="Q169">
        <f>IF(Financials[[#This Row],[ Units_Sold ]]&lt;&gt;INT(Financials[[#This Row],[ Units_Sold ]]),1,0)</f>
        <v/>
      </c>
      <c r="R169" s="10">
        <f>Financials[[#This Row],[ Profit ]]/Financials[[#This Row],[  Sales ]]</f>
        <v/>
      </c>
      <c r="S169" s="2">
        <f>Financials[[#This Row],[ COGS ]]/Financials[[#This Row],[  Sales ]]</f>
        <v/>
      </c>
      <c r="T169" s="3">
        <f>Financials[[#This Row],[ Discounts ]]/Financials[[#This Row],[  Sales ]]</f>
        <v/>
      </c>
      <c r="U169">
        <f>Financials[[#This Row],[  Sales ]]/Financials[[#This Row],[ Units_Sold ]]</f>
        <v/>
      </c>
      <c r="V169">
        <f>Financials[[#This Row],[ Profit ]]/Financials[[#This Row],[ Units_Sold ]]</f>
        <v/>
      </c>
      <c r="W169">
        <f>IF(Financials[[#This Row],[ Profit ]]&lt;0,1,0)</f>
        <v/>
      </c>
    </row>
    <row r="170">
      <c r="A170" t="inlineStr">
        <is>
          <t>Enterprise</t>
        </is>
      </c>
      <c r="B170" t="inlineStr">
        <is>
          <t>Germany</t>
        </is>
      </c>
      <c r="C170" t="inlineStr">
        <is>
          <t xml:space="preserve"> VTT </t>
        </is>
      </c>
      <c r="D170" t="inlineStr">
        <is>
          <t xml:space="preserve"> Low </t>
        </is>
      </c>
      <c r="E170" t="n">
        <v>1570</v>
      </c>
      <c r="F170" s="69" t="n">
        <v>250</v>
      </c>
      <c r="G170" s="69" t="n">
        <v>125</v>
      </c>
      <c r="H170" s="69" t="n">
        <v>196250</v>
      </c>
      <c r="I170" s="5" t="n">
        <v>5887.5</v>
      </c>
      <c r="J170" s="69" t="n">
        <v>190362.5</v>
      </c>
      <c r="K170" s="69" t="n">
        <v>188400</v>
      </c>
      <c r="L170" s="69" t="n">
        <v>1962.5</v>
      </c>
      <c r="M170" s="1" t="n">
        <v>41645</v>
      </c>
      <c r="N170" t="n">
        <v>6</v>
      </c>
      <c r="O170" t="inlineStr">
        <is>
          <t xml:space="preserve"> June </t>
        </is>
      </c>
      <c r="P170" t="n">
        <v>2014</v>
      </c>
      <c r="Q170">
        <f>IF(Financials[[#This Row],[ Units_Sold ]]&lt;&gt;INT(Financials[[#This Row],[ Units_Sold ]]),1,0)</f>
        <v/>
      </c>
      <c r="R170" s="10">
        <f>Financials[[#This Row],[ Profit ]]/Financials[[#This Row],[  Sales ]]</f>
        <v/>
      </c>
      <c r="S170" s="2">
        <f>Financials[[#This Row],[ COGS ]]/Financials[[#This Row],[  Sales ]]</f>
        <v/>
      </c>
      <c r="T170" s="3">
        <f>Financials[[#This Row],[ Discounts ]]/Financials[[#This Row],[  Sales ]]</f>
        <v/>
      </c>
      <c r="U170">
        <f>Financials[[#This Row],[  Sales ]]/Financials[[#This Row],[ Units_Sold ]]</f>
        <v/>
      </c>
      <c r="V170">
        <f>Financials[[#This Row],[ Profit ]]/Financials[[#This Row],[ Units_Sold ]]</f>
        <v/>
      </c>
      <c r="W170">
        <f>IF(Financials[[#This Row],[ Profit ]]&lt;0,1,0)</f>
        <v/>
      </c>
    </row>
    <row r="171">
      <c r="A171" t="inlineStr">
        <is>
          <t>Small Business</t>
        </is>
      </c>
      <c r="B171" t="inlineStr">
        <is>
          <t>Canada</t>
        </is>
      </c>
      <c r="C171" t="inlineStr">
        <is>
          <t xml:space="preserve"> VTT </t>
        </is>
      </c>
      <c r="D171" t="inlineStr">
        <is>
          <t xml:space="preserve"> Low </t>
        </is>
      </c>
      <c r="E171" t="n">
        <v>1874</v>
      </c>
      <c r="F171" s="69" t="n">
        <v>250</v>
      </c>
      <c r="G171" s="69" t="n">
        <v>300</v>
      </c>
      <c r="H171" s="69" t="n">
        <v>562200</v>
      </c>
      <c r="I171" s="5" t="n">
        <v>16866</v>
      </c>
      <c r="J171" s="69" t="n">
        <v>545334</v>
      </c>
      <c r="K171" s="69" t="n">
        <v>468500</v>
      </c>
      <c r="L171" s="69" t="n">
        <v>76834</v>
      </c>
      <c r="M171" s="1" t="n">
        <v>41647</v>
      </c>
      <c r="N171" t="n">
        <v>8</v>
      </c>
      <c r="O171" t="inlineStr">
        <is>
          <t xml:space="preserve"> August </t>
        </is>
      </c>
      <c r="P171" t="n">
        <v>2014</v>
      </c>
      <c r="Q171">
        <f>IF(Financials[[#This Row],[ Units_Sold ]]&lt;&gt;INT(Financials[[#This Row],[ Units_Sold ]]),1,0)</f>
        <v/>
      </c>
      <c r="R171" s="10">
        <f>Financials[[#This Row],[ Profit ]]/Financials[[#This Row],[  Sales ]]</f>
        <v/>
      </c>
      <c r="S171" s="2">
        <f>Financials[[#This Row],[ COGS ]]/Financials[[#This Row],[  Sales ]]</f>
        <v/>
      </c>
      <c r="T171" s="3">
        <f>Financials[[#This Row],[ Discounts ]]/Financials[[#This Row],[  Sales ]]</f>
        <v/>
      </c>
      <c r="U171">
        <f>Financials[[#This Row],[  Sales ]]/Financials[[#This Row],[ Units_Sold ]]</f>
        <v/>
      </c>
      <c r="V171">
        <f>Financials[[#This Row],[ Profit ]]/Financials[[#This Row],[ Units_Sold ]]</f>
        <v/>
      </c>
      <c r="W171">
        <f>IF(Financials[[#This Row],[ Profit ]]&lt;0,1,0)</f>
        <v/>
      </c>
    </row>
    <row r="172">
      <c r="A172" t="inlineStr">
        <is>
          <t>Government</t>
        </is>
      </c>
      <c r="B172" t="inlineStr">
        <is>
          <t>Mexico</t>
        </is>
      </c>
      <c r="C172" t="inlineStr">
        <is>
          <t xml:space="preserve"> VTT </t>
        </is>
      </c>
      <c r="D172" t="inlineStr">
        <is>
          <t xml:space="preserve"> Low </t>
        </is>
      </c>
      <c r="E172" t="n">
        <v>1642</v>
      </c>
      <c r="F172" s="69" t="n">
        <v>250</v>
      </c>
      <c r="G172" s="69" t="n">
        <v>350</v>
      </c>
      <c r="H172" s="69" t="n">
        <v>574700</v>
      </c>
      <c r="I172" s="5" t="n">
        <v>17241</v>
      </c>
      <c r="J172" s="69" t="n">
        <v>557459</v>
      </c>
      <c r="K172" s="69" t="n">
        <v>426920</v>
      </c>
      <c r="L172" s="69" t="n">
        <v>130539</v>
      </c>
      <c r="M172" s="1" t="n">
        <v>41647</v>
      </c>
      <c r="N172" t="n">
        <v>8</v>
      </c>
      <c r="O172" t="inlineStr">
        <is>
          <t xml:space="preserve"> August </t>
        </is>
      </c>
      <c r="P172" t="n">
        <v>2014</v>
      </c>
      <c r="Q172">
        <f>IF(Financials[[#This Row],[ Units_Sold ]]&lt;&gt;INT(Financials[[#This Row],[ Units_Sold ]]),1,0)</f>
        <v/>
      </c>
      <c r="R172" s="10">
        <f>Financials[[#This Row],[ Profit ]]/Financials[[#This Row],[  Sales ]]</f>
        <v/>
      </c>
      <c r="S172" s="2">
        <f>Financials[[#This Row],[ COGS ]]/Financials[[#This Row],[  Sales ]]</f>
        <v/>
      </c>
      <c r="T172" s="3">
        <f>Financials[[#This Row],[ Discounts ]]/Financials[[#This Row],[  Sales ]]</f>
        <v/>
      </c>
      <c r="U172">
        <f>Financials[[#This Row],[  Sales ]]/Financials[[#This Row],[ Units_Sold ]]</f>
        <v/>
      </c>
      <c r="V172">
        <f>Financials[[#This Row],[ Profit ]]/Financials[[#This Row],[ Units_Sold ]]</f>
        <v/>
      </c>
      <c r="W172">
        <f>IF(Financials[[#This Row],[ Profit ]]&lt;0,1,0)</f>
        <v/>
      </c>
    </row>
    <row r="173">
      <c r="A173" t="inlineStr">
        <is>
          <t>Midmarket</t>
        </is>
      </c>
      <c r="B173" t="inlineStr">
        <is>
          <t>Germany</t>
        </is>
      </c>
      <c r="C173" t="inlineStr">
        <is>
          <t xml:space="preserve"> VTT </t>
        </is>
      </c>
      <c r="D173" t="inlineStr">
        <is>
          <t xml:space="preserve"> Low </t>
        </is>
      </c>
      <c r="E173" t="n">
        <v>1945</v>
      </c>
      <c r="F173" s="69" t="n">
        <v>250</v>
      </c>
      <c r="G173" s="69" t="n">
        <v>15</v>
      </c>
      <c r="H173" s="69" t="n">
        <v>29175</v>
      </c>
      <c r="I173" s="5" t="n">
        <v>875.25</v>
      </c>
      <c r="J173" s="69" t="n">
        <v>28299.75</v>
      </c>
      <c r="K173" s="69" t="n">
        <v>19450</v>
      </c>
      <c r="L173" s="69" t="n">
        <v>8849.75</v>
      </c>
      <c r="M173" s="1" t="n">
        <v>41284</v>
      </c>
      <c r="N173" t="n">
        <v>10</v>
      </c>
      <c r="O173" t="inlineStr">
        <is>
          <t xml:space="preserve"> October </t>
        </is>
      </c>
      <c r="P173" t="n">
        <v>2013</v>
      </c>
      <c r="Q173">
        <f>IF(Financials[[#This Row],[ Units_Sold ]]&lt;&gt;INT(Financials[[#This Row],[ Units_Sold ]]),1,0)</f>
        <v/>
      </c>
      <c r="R173" s="10">
        <f>Financials[[#This Row],[ Profit ]]/Financials[[#This Row],[  Sales ]]</f>
        <v/>
      </c>
      <c r="S173" s="2">
        <f>Financials[[#This Row],[ COGS ]]/Financials[[#This Row],[  Sales ]]</f>
        <v/>
      </c>
      <c r="T173" s="3">
        <f>Financials[[#This Row],[ Discounts ]]/Financials[[#This Row],[  Sales ]]</f>
        <v/>
      </c>
      <c r="U173">
        <f>Financials[[#This Row],[  Sales ]]/Financials[[#This Row],[ Units_Sold ]]</f>
        <v/>
      </c>
      <c r="V173">
        <f>Financials[[#This Row],[ Profit ]]/Financials[[#This Row],[ Units_Sold ]]</f>
        <v/>
      </c>
      <c r="W173">
        <f>IF(Financials[[#This Row],[ Profit ]]&lt;0,1,0)</f>
        <v/>
      </c>
    </row>
    <row r="174">
      <c r="A174" t="inlineStr">
        <is>
          <t>Government</t>
        </is>
      </c>
      <c r="B174" t="inlineStr">
        <is>
          <t>Canada</t>
        </is>
      </c>
      <c r="C174" t="inlineStr">
        <is>
          <t xml:space="preserve"> Carretera </t>
        </is>
      </c>
      <c r="D174" t="inlineStr">
        <is>
          <t xml:space="preserve"> Low </t>
        </is>
      </c>
      <c r="E174" t="n">
        <v>831</v>
      </c>
      <c r="F174" s="69" t="n">
        <v>3</v>
      </c>
      <c r="G174" s="69" t="n">
        <v>20</v>
      </c>
      <c r="H174" s="69" t="n">
        <v>16620</v>
      </c>
      <c r="I174" s="5" t="n">
        <v>498.6</v>
      </c>
      <c r="J174" s="69" t="n">
        <v>16121.4</v>
      </c>
      <c r="K174" s="69" t="n">
        <v>8310</v>
      </c>
      <c r="L174" s="69" t="n">
        <v>7811.4</v>
      </c>
      <c r="M174" s="1" t="n">
        <v>41644</v>
      </c>
      <c r="N174" t="n">
        <v>5</v>
      </c>
      <c r="O174" t="inlineStr">
        <is>
          <t xml:space="preserve"> May </t>
        </is>
      </c>
      <c r="P174" t="n">
        <v>2014</v>
      </c>
      <c r="Q174">
        <f>IF(Financials[[#This Row],[ Units_Sold ]]&lt;&gt;INT(Financials[[#This Row],[ Units_Sold ]]),1,0)</f>
        <v/>
      </c>
      <c r="R174" s="10">
        <f>Financials[[#This Row],[ Profit ]]/Financials[[#This Row],[  Sales ]]</f>
        <v/>
      </c>
      <c r="S174" s="2">
        <f>Financials[[#This Row],[ COGS ]]/Financials[[#This Row],[  Sales ]]</f>
        <v/>
      </c>
      <c r="T174" s="3">
        <f>Financials[[#This Row],[ Discounts ]]/Financials[[#This Row],[  Sales ]]</f>
        <v/>
      </c>
      <c r="U174">
        <f>Financials[[#This Row],[  Sales ]]/Financials[[#This Row],[ Units_Sold ]]</f>
        <v/>
      </c>
      <c r="V174">
        <f>Financials[[#This Row],[ Profit ]]/Financials[[#This Row],[ Units_Sold ]]</f>
        <v/>
      </c>
      <c r="W174">
        <f>IF(Financials[[#This Row],[ Profit ]]&lt;0,1,0)</f>
        <v/>
      </c>
    </row>
    <row r="175">
      <c r="A175" t="inlineStr">
        <is>
          <t>Government</t>
        </is>
      </c>
      <c r="B175" t="inlineStr">
        <is>
          <t>Mexico</t>
        </is>
      </c>
      <c r="C175" t="inlineStr">
        <is>
          <t xml:space="preserve"> Paseo </t>
        </is>
      </c>
      <c r="D175" t="inlineStr">
        <is>
          <t xml:space="preserve"> Low </t>
        </is>
      </c>
      <c r="E175" t="n">
        <v>1760</v>
      </c>
      <c r="F175" s="69" t="n">
        <v>10</v>
      </c>
      <c r="G175" s="69" t="n">
        <v>7</v>
      </c>
      <c r="H175" s="69" t="n">
        <v>12320</v>
      </c>
      <c r="I175" s="5" t="n">
        <v>369.6</v>
      </c>
      <c r="J175" s="69" t="n">
        <v>11950.4</v>
      </c>
      <c r="K175" s="69" t="n">
        <v>8800</v>
      </c>
      <c r="L175" s="69" t="n">
        <v>3150.4</v>
      </c>
      <c r="M175" s="1" t="n">
        <v>41283</v>
      </c>
      <c r="N175" t="n">
        <v>9</v>
      </c>
      <c r="O175" t="inlineStr">
        <is>
          <t xml:space="preserve"> September </t>
        </is>
      </c>
      <c r="P175" t="n">
        <v>2013</v>
      </c>
      <c r="Q175">
        <f>IF(Financials[[#This Row],[ Units_Sold ]]&lt;&gt;INT(Financials[[#This Row],[ Units_Sold ]]),1,0)</f>
        <v/>
      </c>
      <c r="R175" s="10">
        <f>Financials[[#This Row],[ Profit ]]/Financials[[#This Row],[  Sales ]]</f>
        <v/>
      </c>
      <c r="S175" s="2">
        <f>Financials[[#This Row],[ COGS ]]/Financials[[#This Row],[  Sales ]]</f>
        <v/>
      </c>
      <c r="T175" s="3">
        <f>Financials[[#This Row],[ Discounts ]]/Financials[[#This Row],[  Sales ]]</f>
        <v/>
      </c>
      <c r="U175">
        <f>Financials[[#This Row],[  Sales ]]/Financials[[#This Row],[ Units_Sold ]]</f>
        <v/>
      </c>
      <c r="V175">
        <f>Financials[[#This Row],[ Profit ]]/Financials[[#This Row],[ Units_Sold ]]</f>
        <v/>
      </c>
      <c r="W175">
        <f>IF(Financials[[#This Row],[ Profit ]]&lt;0,1,0)</f>
        <v/>
      </c>
    </row>
    <row r="176">
      <c r="A176" t="inlineStr">
        <is>
          <t>Government</t>
        </is>
      </c>
      <c r="B176" t="inlineStr">
        <is>
          <t>Canada</t>
        </is>
      </c>
      <c r="C176" t="inlineStr">
        <is>
          <t xml:space="preserve"> Velo </t>
        </is>
      </c>
      <c r="D176" t="inlineStr">
        <is>
          <t xml:space="preserve"> Low </t>
        </is>
      </c>
      <c r="E176" t="n">
        <v>3850.5</v>
      </c>
      <c r="F176" s="69" t="n">
        <v>120</v>
      </c>
      <c r="G176" s="69" t="n">
        <v>20</v>
      </c>
      <c r="H176" s="69" t="n">
        <v>77010</v>
      </c>
      <c r="I176" s="5" t="n">
        <v>2310.3</v>
      </c>
      <c r="J176" s="69" t="n">
        <v>74699.7</v>
      </c>
      <c r="K176" s="69" t="n">
        <v>38505</v>
      </c>
      <c r="L176" s="69" t="n">
        <v>36194.7</v>
      </c>
      <c r="M176" s="1" t="n">
        <v>41643</v>
      </c>
      <c r="N176" t="n">
        <v>4</v>
      </c>
      <c r="O176" t="inlineStr">
        <is>
          <t xml:space="preserve"> April </t>
        </is>
      </c>
      <c r="P176" t="n">
        <v>2014</v>
      </c>
      <c r="Q176">
        <f>IF(Financials[[#This Row],[ Units_Sold ]]&lt;&gt;INT(Financials[[#This Row],[ Units_Sold ]]),1,0)</f>
        <v/>
      </c>
      <c r="R176" s="10">
        <f>Financials[[#This Row],[ Profit ]]/Financials[[#This Row],[  Sales ]]</f>
        <v/>
      </c>
      <c r="S176" s="2">
        <f>Financials[[#This Row],[ COGS ]]/Financials[[#This Row],[  Sales ]]</f>
        <v/>
      </c>
      <c r="T176" s="3">
        <f>Financials[[#This Row],[ Discounts ]]/Financials[[#This Row],[  Sales ]]</f>
        <v/>
      </c>
      <c r="U176">
        <f>Financials[[#This Row],[  Sales ]]/Financials[[#This Row],[ Units_Sold ]]</f>
        <v/>
      </c>
      <c r="V176">
        <f>Financials[[#This Row],[ Profit ]]/Financials[[#This Row],[ Units_Sold ]]</f>
        <v/>
      </c>
      <c r="W176">
        <f>IF(Financials[[#This Row],[ Profit ]]&lt;0,1,0)</f>
        <v/>
      </c>
    </row>
    <row r="177">
      <c r="A177" t="inlineStr">
        <is>
          <t>Channel Partners</t>
        </is>
      </c>
      <c r="B177" t="inlineStr">
        <is>
          <t>Germany</t>
        </is>
      </c>
      <c r="C177" t="inlineStr">
        <is>
          <t xml:space="preserve"> VTT </t>
        </is>
      </c>
      <c r="D177" t="inlineStr">
        <is>
          <t xml:space="preserve"> Low </t>
        </is>
      </c>
      <c r="E177" t="n">
        <v>2479</v>
      </c>
      <c r="F177" s="69" t="n">
        <v>250</v>
      </c>
      <c r="G177" s="69" t="n">
        <v>12</v>
      </c>
      <c r="H177" s="69" t="n">
        <v>29748</v>
      </c>
      <c r="I177" s="5" t="n">
        <v>892.4400000000001</v>
      </c>
      <c r="J177" s="69" t="n">
        <v>28855.56</v>
      </c>
      <c r="K177" s="69" t="n">
        <v>7437</v>
      </c>
      <c r="L177" s="69" t="n">
        <v>21418.56</v>
      </c>
      <c r="M177" s="1" t="n">
        <v>41640</v>
      </c>
      <c r="N177" t="n">
        <v>1</v>
      </c>
      <c r="O177" t="inlineStr">
        <is>
          <t xml:space="preserve"> January </t>
        </is>
      </c>
      <c r="P177" t="n">
        <v>2014</v>
      </c>
      <c r="Q177">
        <f>IF(Financials[[#This Row],[ Units_Sold ]]&lt;&gt;INT(Financials[[#This Row],[ Units_Sold ]]),1,0)</f>
        <v/>
      </c>
      <c r="R177" s="10">
        <f>Financials[[#This Row],[ Profit ]]/Financials[[#This Row],[  Sales ]]</f>
        <v/>
      </c>
      <c r="S177" s="2">
        <f>Financials[[#This Row],[ COGS ]]/Financials[[#This Row],[  Sales ]]</f>
        <v/>
      </c>
      <c r="T177" s="3">
        <f>Financials[[#This Row],[ Discounts ]]/Financials[[#This Row],[  Sales ]]</f>
        <v/>
      </c>
      <c r="U177">
        <f>Financials[[#This Row],[  Sales ]]/Financials[[#This Row],[ Units_Sold ]]</f>
        <v/>
      </c>
      <c r="V177">
        <f>Financials[[#This Row],[ Profit ]]/Financials[[#This Row],[ Units_Sold ]]</f>
        <v/>
      </c>
      <c r="W177">
        <f>IF(Financials[[#This Row],[ Profit ]]&lt;0,1,0)</f>
        <v/>
      </c>
    </row>
    <row r="178">
      <c r="A178" t="inlineStr">
        <is>
          <t>Midmarket</t>
        </is>
      </c>
      <c r="B178" t="inlineStr">
        <is>
          <t>Mexico</t>
        </is>
      </c>
      <c r="C178" t="inlineStr">
        <is>
          <t xml:space="preserve"> Montana </t>
        </is>
      </c>
      <c r="D178" t="inlineStr">
        <is>
          <t xml:space="preserve"> Low </t>
        </is>
      </c>
      <c r="E178" t="n">
        <v>2031</v>
      </c>
      <c r="F178" s="69" t="n">
        <v>5</v>
      </c>
      <c r="G178" s="69" t="n">
        <v>15</v>
      </c>
      <c r="H178" s="69" t="n">
        <v>30465</v>
      </c>
      <c r="I178" s="5" t="n">
        <v>1218.6</v>
      </c>
      <c r="J178" s="69" t="n">
        <v>29246.4</v>
      </c>
      <c r="K178" s="69" t="n">
        <v>20310</v>
      </c>
      <c r="L178" s="69" t="n">
        <v>8936.4</v>
      </c>
      <c r="M178" s="1" t="n">
        <v>41649</v>
      </c>
      <c r="N178" t="n">
        <v>10</v>
      </c>
      <c r="O178" t="inlineStr">
        <is>
          <t xml:space="preserve"> October </t>
        </is>
      </c>
      <c r="P178" t="n">
        <v>2014</v>
      </c>
      <c r="Q178">
        <f>IF(Financials[[#This Row],[ Units_Sold ]]&lt;&gt;INT(Financials[[#This Row],[ Units_Sold ]]),1,0)</f>
        <v/>
      </c>
      <c r="R178" s="10">
        <f>Financials[[#This Row],[ Profit ]]/Financials[[#This Row],[  Sales ]]</f>
        <v/>
      </c>
      <c r="S178" s="2">
        <f>Financials[[#This Row],[ COGS ]]/Financials[[#This Row],[  Sales ]]</f>
        <v/>
      </c>
      <c r="T178" s="3">
        <f>Financials[[#This Row],[ Discounts ]]/Financials[[#This Row],[  Sales ]]</f>
        <v/>
      </c>
      <c r="U178">
        <f>Financials[[#This Row],[  Sales ]]/Financials[[#This Row],[ Units_Sold ]]</f>
        <v/>
      </c>
      <c r="V178">
        <f>Financials[[#This Row],[ Profit ]]/Financials[[#This Row],[ Units_Sold ]]</f>
        <v/>
      </c>
      <c r="W178">
        <f>IF(Financials[[#This Row],[ Profit ]]&lt;0,1,0)</f>
        <v/>
      </c>
    </row>
    <row r="179">
      <c r="A179" t="inlineStr">
        <is>
          <t>Midmarket</t>
        </is>
      </c>
      <c r="B179" t="inlineStr">
        <is>
          <t>Mexico</t>
        </is>
      </c>
      <c r="C179" t="inlineStr">
        <is>
          <t xml:space="preserve"> Paseo </t>
        </is>
      </c>
      <c r="D179" t="inlineStr">
        <is>
          <t xml:space="preserve"> Low </t>
        </is>
      </c>
      <c r="E179" t="n">
        <v>2031</v>
      </c>
      <c r="F179" s="69" t="n">
        <v>10</v>
      </c>
      <c r="G179" s="69" t="n">
        <v>15</v>
      </c>
      <c r="H179" s="69" t="n">
        <v>30465</v>
      </c>
      <c r="I179" s="5" t="n">
        <v>1218.6</v>
      </c>
      <c r="J179" s="69" t="n">
        <v>29246.4</v>
      </c>
      <c r="K179" s="69" t="n">
        <v>20310</v>
      </c>
      <c r="L179" s="69" t="n">
        <v>8936.4</v>
      </c>
      <c r="M179" s="1" t="n">
        <v>41649</v>
      </c>
      <c r="N179" t="n">
        <v>10</v>
      </c>
      <c r="O179" t="inlineStr">
        <is>
          <t xml:space="preserve"> October </t>
        </is>
      </c>
      <c r="P179" t="n">
        <v>2014</v>
      </c>
      <c r="Q179">
        <f>IF(Financials[[#This Row],[ Units_Sold ]]&lt;&gt;INT(Financials[[#This Row],[ Units_Sold ]]),1,0)</f>
        <v/>
      </c>
      <c r="R179" s="10">
        <f>Financials[[#This Row],[ Profit ]]/Financials[[#This Row],[  Sales ]]</f>
        <v/>
      </c>
      <c r="S179" s="2">
        <f>Financials[[#This Row],[ COGS ]]/Financials[[#This Row],[  Sales ]]</f>
        <v/>
      </c>
      <c r="T179" s="3">
        <f>Financials[[#This Row],[ Discounts ]]/Financials[[#This Row],[  Sales ]]</f>
        <v/>
      </c>
      <c r="U179">
        <f>Financials[[#This Row],[  Sales ]]/Financials[[#This Row],[ Units_Sold ]]</f>
        <v/>
      </c>
      <c r="V179">
        <f>Financials[[#This Row],[ Profit ]]/Financials[[#This Row],[ Units_Sold ]]</f>
        <v/>
      </c>
      <c r="W179">
        <f>IF(Financials[[#This Row],[ Profit ]]&lt;0,1,0)</f>
        <v/>
      </c>
    </row>
    <row r="180">
      <c r="A180" t="inlineStr">
        <is>
          <t>Midmarket</t>
        </is>
      </c>
      <c r="B180" t="inlineStr">
        <is>
          <t>France</t>
        </is>
      </c>
      <c r="C180" t="inlineStr">
        <is>
          <t xml:space="preserve"> Paseo </t>
        </is>
      </c>
      <c r="D180" t="inlineStr">
        <is>
          <t xml:space="preserve"> Low </t>
        </is>
      </c>
      <c r="E180" t="n">
        <v>2261</v>
      </c>
      <c r="F180" s="69" t="n">
        <v>10</v>
      </c>
      <c r="G180" s="69" t="n">
        <v>15</v>
      </c>
      <c r="H180" s="69" t="n">
        <v>33915</v>
      </c>
      <c r="I180" s="5" t="n">
        <v>1356.6</v>
      </c>
      <c r="J180" s="69" t="n">
        <v>32558.4</v>
      </c>
      <c r="K180" s="69" t="n">
        <v>22610</v>
      </c>
      <c r="L180" s="69" t="n">
        <v>9948.4</v>
      </c>
      <c r="M180" s="1" t="n">
        <v>41286</v>
      </c>
      <c r="N180" t="n">
        <v>12</v>
      </c>
      <c r="O180" t="inlineStr">
        <is>
          <t xml:space="preserve"> December </t>
        </is>
      </c>
      <c r="P180" t="n">
        <v>2013</v>
      </c>
      <c r="Q180">
        <f>IF(Financials[[#This Row],[ Units_Sold ]]&lt;&gt;INT(Financials[[#This Row],[ Units_Sold ]]),1,0)</f>
        <v/>
      </c>
      <c r="R180" s="10">
        <f>Financials[[#This Row],[ Profit ]]/Financials[[#This Row],[  Sales ]]</f>
        <v/>
      </c>
      <c r="S180" s="2">
        <f>Financials[[#This Row],[ COGS ]]/Financials[[#This Row],[  Sales ]]</f>
        <v/>
      </c>
      <c r="T180" s="3">
        <f>Financials[[#This Row],[ Discounts ]]/Financials[[#This Row],[  Sales ]]</f>
        <v/>
      </c>
      <c r="U180">
        <f>Financials[[#This Row],[  Sales ]]/Financials[[#This Row],[ Units_Sold ]]</f>
        <v/>
      </c>
      <c r="V180">
        <f>Financials[[#This Row],[ Profit ]]/Financials[[#This Row],[ Units_Sold ]]</f>
        <v/>
      </c>
      <c r="W180">
        <f>IF(Financials[[#This Row],[ Profit ]]&lt;0,1,0)</f>
        <v/>
      </c>
    </row>
    <row r="181">
      <c r="A181" t="inlineStr">
        <is>
          <t>Government</t>
        </is>
      </c>
      <c r="B181" t="inlineStr">
        <is>
          <t>United States of America</t>
        </is>
      </c>
      <c r="C181" t="inlineStr">
        <is>
          <t xml:space="preserve"> Velo </t>
        </is>
      </c>
      <c r="D181" t="inlineStr">
        <is>
          <t xml:space="preserve"> Low </t>
        </is>
      </c>
      <c r="E181" t="n">
        <v>736</v>
      </c>
      <c r="F181" s="69" t="n">
        <v>120</v>
      </c>
      <c r="G181" s="69" t="n">
        <v>20</v>
      </c>
      <c r="H181" s="69" t="n">
        <v>14720</v>
      </c>
      <c r="I181" s="5" t="n">
        <v>588.8</v>
      </c>
      <c r="J181" s="69" t="n">
        <v>14131.2</v>
      </c>
      <c r="K181" s="69" t="n">
        <v>7360</v>
      </c>
      <c r="L181" s="69" t="n">
        <v>6771.2</v>
      </c>
      <c r="M181" s="1" t="n">
        <v>41283</v>
      </c>
      <c r="N181" t="n">
        <v>9</v>
      </c>
      <c r="O181" t="inlineStr">
        <is>
          <t xml:space="preserve"> September </t>
        </is>
      </c>
      <c r="P181" t="n">
        <v>2013</v>
      </c>
      <c r="Q181">
        <f>IF(Financials[[#This Row],[ Units_Sold ]]&lt;&gt;INT(Financials[[#This Row],[ Units_Sold ]]),1,0)</f>
        <v/>
      </c>
      <c r="R181" s="10">
        <f>Financials[[#This Row],[ Profit ]]/Financials[[#This Row],[  Sales ]]</f>
        <v/>
      </c>
      <c r="S181" s="2">
        <f>Financials[[#This Row],[ COGS ]]/Financials[[#This Row],[  Sales ]]</f>
        <v/>
      </c>
      <c r="T181" s="3">
        <f>Financials[[#This Row],[ Discounts ]]/Financials[[#This Row],[  Sales ]]</f>
        <v/>
      </c>
      <c r="U181">
        <f>Financials[[#This Row],[  Sales ]]/Financials[[#This Row],[ Units_Sold ]]</f>
        <v/>
      </c>
      <c r="V181">
        <f>Financials[[#This Row],[ Profit ]]/Financials[[#This Row],[ Units_Sold ]]</f>
        <v/>
      </c>
      <c r="W181">
        <f>IF(Financials[[#This Row],[ Profit ]]&lt;0,1,0)</f>
        <v/>
      </c>
    </row>
    <row r="182">
      <c r="A182" t="inlineStr">
        <is>
          <t>Government</t>
        </is>
      </c>
      <c r="B182" t="inlineStr">
        <is>
          <t>Canada</t>
        </is>
      </c>
      <c r="C182" t="inlineStr">
        <is>
          <t xml:space="preserve"> Carretera </t>
        </is>
      </c>
      <c r="D182" t="inlineStr">
        <is>
          <t xml:space="preserve"> Low </t>
        </is>
      </c>
      <c r="E182" t="n">
        <v>2851</v>
      </c>
      <c r="F182" s="69" t="n">
        <v>3</v>
      </c>
      <c r="G182" s="69" t="n">
        <v>7</v>
      </c>
      <c r="H182" s="69" t="n">
        <v>19957</v>
      </c>
      <c r="I182" s="5" t="n">
        <v>798.28</v>
      </c>
      <c r="J182" s="69" t="n">
        <v>19158.72</v>
      </c>
      <c r="K182" s="69" t="n">
        <v>14255</v>
      </c>
      <c r="L182" s="69" t="n">
        <v>4903.72</v>
      </c>
      <c r="M182" s="1" t="n">
        <v>41284</v>
      </c>
      <c r="N182" t="n">
        <v>10</v>
      </c>
      <c r="O182" t="inlineStr">
        <is>
          <t xml:space="preserve"> October </t>
        </is>
      </c>
      <c r="P182" t="n">
        <v>2013</v>
      </c>
      <c r="Q182">
        <f>IF(Financials[[#This Row],[ Units_Sold ]]&lt;&gt;INT(Financials[[#This Row],[ Units_Sold ]]),1,0)</f>
        <v/>
      </c>
      <c r="R182" s="10">
        <f>Financials[[#This Row],[ Profit ]]/Financials[[#This Row],[  Sales ]]</f>
        <v/>
      </c>
      <c r="S182" s="2">
        <f>Financials[[#This Row],[ COGS ]]/Financials[[#This Row],[  Sales ]]</f>
        <v/>
      </c>
      <c r="T182" s="3">
        <f>Financials[[#This Row],[ Discounts ]]/Financials[[#This Row],[  Sales ]]</f>
        <v/>
      </c>
      <c r="U182">
        <f>Financials[[#This Row],[  Sales ]]/Financials[[#This Row],[ Units_Sold ]]</f>
        <v/>
      </c>
      <c r="V182">
        <f>Financials[[#This Row],[ Profit ]]/Financials[[#This Row],[ Units_Sold ]]</f>
        <v/>
      </c>
      <c r="W182">
        <f>IF(Financials[[#This Row],[ Profit ]]&lt;0,1,0)</f>
        <v/>
      </c>
    </row>
    <row r="183">
      <c r="A183" t="inlineStr">
        <is>
          <t>Small Business</t>
        </is>
      </c>
      <c r="B183" t="inlineStr">
        <is>
          <t>Germany</t>
        </is>
      </c>
      <c r="C183" t="inlineStr">
        <is>
          <t xml:space="preserve"> Carretera </t>
        </is>
      </c>
      <c r="D183" t="inlineStr">
        <is>
          <t xml:space="preserve"> Low </t>
        </is>
      </c>
      <c r="E183" t="n">
        <v>2021</v>
      </c>
      <c r="F183" s="69" t="n">
        <v>3</v>
      </c>
      <c r="G183" s="69" t="n">
        <v>300</v>
      </c>
      <c r="H183" s="69" t="n">
        <v>606300</v>
      </c>
      <c r="I183" s="5" t="n">
        <v>24252</v>
      </c>
      <c r="J183" s="69" t="n">
        <v>582048</v>
      </c>
      <c r="K183" s="69" t="n">
        <v>505250</v>
      </c>
      <c r="L183" s="69" t="n">
        <v>76798</v>
      </c>
      <c r="M183" s="1" t="n">
        <v>41649</v>
      </c>
      <c r="N183" t="n">
        <v>10</v>
      </c>
      <c r="O183" t="inlineStr">
        <is>
          <t xml:space="preserve"> October </t>
        </is>
      </c>
      <c r="P183" t="n">
        <v>2014</v>
      </c>
      <c r="Q183">
        <f>IF(Financials[[#This Row],[ Units_Sold ]]&lt;&gt;INT(Financials[[#This Row],[ Units_Sold ]]),1,0)</f>
        <v/>
      </c>
      <c r="R183" s="10">
        <f>Financials[[#This Row],[ Profit ]]/Financials[[#This Row],[  Sales ]]</f>
        <v/>
      </c>
      <c r="S183" s="2">
        <f>Financials[[#This Row],[ COGS ]]/Financials[[#This Row],[  Sales ]]</f>
        <v/>
      </c>
      <c r="T183" s="3">
        <f>Financials[[#This Row],[ Discounts ]]/Financials[[#This Row],[  Sales ]]</f>
        <v/>
      </c>
      <c r="U183">
        <f>Financials[[#This Row],[  Sales ]]/Financials[[#This Row],[ Units_Sold ]]</f>
        <v/>
      </c>
      <c r="V183">
        <f>Financials[[#This Row],[ Profit ]]/Financials[[#This Row],[ Units_Sold ]]</f>
        <v/>
      </c>
      <c r="W183">
        <f>IF(Financials[[#This Row],[ Profit ]]&lt;0,1,0)</f>
        <v/>
      </c>
    </row>
    <row r="184">
      <c r="A184" t="inlineStr">
        <is>
          <t>Government</t>
        </is>
      </c>
      <c r="B184" t="inlineStr">
        <is>
          <t>United States of America</t>
        </is>
      </c>
      <c r="C184" t="inlineStr">
        <is>
          <t xml:space="preserve"> Carretera </t>
        </is>
      </c>
      <c r="D184" t="inlineStr">
        <is>
          <t xml:space="preserve"> Low </t>
        </is>
      </c>
      <c r="E184" t="n">
        <v>274</v>
      </c>
      <c r="F184" s="69" t="n">
        <v>3</v>
      </c>
      <c r="G184" s="69" t="n">
        <v>350</v>
      </c>
      <c r="H184" s="69" t="n">
        <v>95900</v>
      </c>
      <c r="I184" s="5" t="n">
        <v>3836</v>
      </c>
      <c r="J184" s="69" t="n">
        <v>92064</v>
      </c>
      <c r="K184" s="69" t="n">
        <v>71240</v>
      </c>
      <c r="L184" s="69" t="n">
        <v>20824</v>
      </c>
      <c r="M184" s="1" t="n">
        <v>41651</v>
      </c>
      <c r="N184" t="n">
        <v>12</v>
      </c>
      <c r="O184" t="inlineStr">
        <is>
          <t xml:space="preserve"> December </t>
        </is>
      </c>
      <c r="P184" t="n">
        <v>2014</v>
      </c>
      <c r="Q184">
        <f>IF(Financials[[#This Row],[ Units_Sold ]]&lt;&gt;INT(Financials[[#This Row],[ Units_Sold ]]),1,0)</f>
        <v/>
      </c>
      <c r="R184" s="10">
        <f>Financials[[#This Row],[ Profit ]]/Financials[[#This Row],[  Sales ]]</f>
        <v/>
      </c>
      <c r="S184" s="2">
        <f>Financials[[#This Row],[ COGS ]]/Financials[[#This Row],[  Sales ]]</f>
        <v/>
      </c>
      <c r="T184" s="3">
        <f>Financials[[#This Row],[ Discounts ]]/Financials[[#This Row],[  Sales ]]</f>
        <v/>
      </c>
      <c r="U184">
        <f>Financials[[#This Row],[  Sales ]]/Financials[[#This Row],[ Units_Sold ]]</f>
        <v/>
      </c>
      <c r="V184">
        <f>Financials[[#This Row],[ Profit ]]/Financials[[#This Row],[ Units_Sold ]]</f>
        <v/>
      </c>
      <c r="W184">
        <f>IF(Financials[[#This Row],[ Profit ]]&lt;0,1,0)</f>
        <v/>
      </c>
    </row>
    <row r="185">
      <c r="A185" t="inlineStr">
        <is>
          <t>Midmarket</t>
        </is>
      </c>
      <c r="B185" t="inlineStr">
        <is>
          <t>Canada</t>
        </is>
      </c>
      <c r="C185" t="inlineStr">
        <is>
          <t xml:space="preserve"> Montana </t>
        </is>
      </c>
      <c r="D185" t="inlineStr">
        <is>
          <t xml:space="preserve"> Low </t>
        </is>
      </c>
      <c r="E185" t="n">
        <v>1967</v>
      </c>
      <c r="F185" s="69" t="n">
        <v>5</v>
      </c>
      <c r="G185" s="69" t="n">
        <v>15</v>
      </c>
      <c r="H185" s="69" t="n">
        <v>29505</v>
      </c>
      <c r="I185" s="5" t="n">
        <v>1180.2</v>
      </c>
      <c r="J185" s="69" t="n">
        <v>28324.8</v>
      </c>
      <c r="K185" s="69" t="n">
        <v>19670</v>
      </c>
      <c r="L185" s="69" t="n">
        <v>8654.799999999999</v>
      </c>
      <c r="M185" s="1" t="n">
        <v>41642</v>
      </c>
      <c r="N185" t="n">
        <v>3</v>
      </c>
      <c r="O185" t="inlineStr">
        <is>
          <t xml:space="preserve"> March </t>
        </is>
      </c>
      <c r="P185" t="n">
        <v>2014</v>
      </c>
      <c r="Q185">
        <f>IF(Financials[[#This Row],[ Units_Sold ]]&lt;&gt;INT(Financials[[#This Row],[ Units_Sold ]]),1,0)</f>
        <v/>
      </c>
      <c r="R185" s="10">
        <f>Financials[[#This Row],[ Profit ]]/Financials[[#This Row],[  Sales ]]</f>
        <v/>
      </c>
      <c r="S185" s="2">
        <f>Financials[[#This Row],[ COGS ]]/Financials[[#This Row],[  Sales ]]</f>
        <v/>
      </c>
      <c r="T185" s="3">
        <f>Financials[[#This Row],[ Discounts ]]/Financials[[#This Row],[  Sales ]]</f>
        <v/>
      </c>
      <c r="U185">
        <f>Financials[[#This Row],[  Sales ]]/Financials[[#This Row],[ Units_Sold ]]</f>
        <v/>
      </c>
      <c r="V185">
        <f>Financials[[#This Row],[ Profit ]]/Financials[[#This Row],[ Units_Sold ]]</f>
        <v/>
      </c>
      <c r="W185">
        <f>IF(Financials[[#This Row],[ Profit ]]&lt;0,1,0)</f>
        <v/>
      </c>
    </row>
    <row r="186">
      <c r="A186" t="inlineStr">
        <is>
          <t>Small Business</t>
        </is>
      </c>
      <c r="B186" t="inlineStr">
        <is>
          <t>Germany</t>
        </is>
      </c>
      <c r="C186" t="inlineStr">
        <is>
          <t xml:space="preserve"> Montana </t>
        </is>
      </c>
      <c r="D186" t="inlineStr">
        <is>
          <t xml:space="preserve"> Low </t>
        </is>
      </c>
      <c r="E186" t="n">
        <v>1859</v>
      </c>
      <c r="F186" s="69" t="n">
        <v>5</v>
      </c>
      <c r="G186" s="69" t="n">
        <v>300</v>
      </c>
      <c r="H186" s="69" t="n">
        <v>557700</v>
      </c>
      <c r="I186" s="5" t="n">
        <v>22308</v>
      </c>
      <c r="J186" s="69" t="n">
        <v>535392</v>
      </c>
      <c r="K186" s="69" t="n">
        <v>464750</v>
      </c>
      <c r="L186" s="69" t="n">
        <v>70642</v>
      </c>
      <c r="M186" s="1" t="n">
        <v>41647</v>
      </c>
      <c r="N186" t="n">
        <v>8</v>
      </c>
      <c r="O186" t="inlineStr">
        <is>
          <t xml:space="preserve"> August </t>
        </is>
      </c>
      <c r="P186" t="n">
        <v>2014</v>
      </c>
      <c r="Q186">
        <f>IF(Financials[[#This Row],[ Units_Sold ]]&lt;&gt;INT(Financials[[#This Row],[ Units_Sold ]]),1,0)</f>
        <v/>
      </c>
      <c r="R186" s="10">
        <f>Financials[[#This Row],[ Profit ]]/Financials[[#This Row],[  Sales ]]</f>
        <v/>
      </c>
      <c r="S186" s="2">
        <f>Financials[[#This Row],[ COGS ]]/Financials[[#This Row],[  Sales ]]</f>
        <v/>
      </c>
      <c r="T186" s="3">
        <f>Financials[[#This Row],[ Discounts ]]/Financials[[#This Row],[  Sales ]]</f>
        <v/>
      </c>
      <c r="U186">
        <f>Financials[[#This Row],[  Sales ]]/Financials[[#This Row],[ Units_Sold ]]</f>
        <v/>
      </c>
      <c r="V186">
        <f>Financials[[#This Row],[ Profit ]]/Financials[[#This Row],[ Units_Sold ]]</f>
        <v/>
      </c>
      <c r="W186">
        <f>IF(Financials[[#This Row],[ Profit ]]&lt;0,1,0)</f>
        <v/>
      </c>
    </row>
    <row r="187">
      <c r="A187" t="inlineStr">
        <is>
          <t>Government</t>
        </is>
      </c>
      <c r="B187" t="inlineStr">
        <is>
          <t>Canada</t>
        </is>
      </c>
      <c r="C187" t="inlineStr">
        <is>
          <t xml:space="preserve"> Montana </t>
        </is>
      </c>
      <c r="D187" t="inlineStr">
        <is>
          <t xml:space="preserve"> Low </t>
        </is>
      </c>
      <c r="E187" t="n">
        <v>2851</v>
      </c>
      <c r="F187" s="69" t="n">
        <v>5</v>
      </c>
      <c r="G187" s="69" t="n">
        <v>7</v>
      </c>
      <c r="H187" s="69" t="n">
        <v>19957</v>
      </c>
      <c r="I187" s="5" t="n">
        <v>798.28</v>
      </c>
      <c r="J187" s="69" t="n">
        <v>19158.72</v>
      </c>
      <c r="K187" s="69" t="n">
        <v>14255</v>
      </c>
      <c r="L187" s="69" t="n">
        <v>4903.72</v>
      </c>
      <c r="M187" s="1" t="n">
        <v>41284</v>
      </c>
      <c r="N187" t="n">
        <v>10</v>
      </c>
      <c r="O187" t="inlineStr">
        <is>
          <t xml:space="preserve"> October </t>
        </is>
      </c>
      <c r="P187" t="n">
        <v>2013</v>
      </c>
      <c r="Q187">
        <f>IF(Financials[[#This Row],[ Units_Sold ]]&lt;&gt;INT(Financials[[#This Row],[ Units_Sold ]]),1,0)</f>
        <v/>
      </c>
      <c r="R187" s="10">
        <f>Financials[[#This Row],[ Profit ]]/Financials[[#This Row],[  Sales ]]</f>
        <v/>
      </c>
      <c r="S187" s="2">
        <f>Financials[[#This Row],[ COGS ]]/Financials[[#This Row],[  Sales ]]</f>
        <v/>
      </c>
      <c r="T187" s="3">
        <f>Financials[[#This Row],[ Discounts ]]/Financials[[#This Row],[  Sales ]]</f>
        <v/>
      </c>
      <c r="U187">
        <f>Financials[[#This Row],[  Sales ]]/Financials[[#This Row],[ Units_Sold ]]</f>
        <v/>
      </c>
      <c r="V187">
        <f>Financials[[#This Row],[ Profit ]]/Financials[[#This Row],[ Units_Sold ]]</f>
        <v/>
      </c>
      <c r="W187">
        <f>IF(Financials[[#This Row],[ Profit ]]&lt;0,1,0)</f>
        <v/>
      </c>
    </row>
    <row r="188">
      <c r="A188" t="inlineStr">
        <is>
          <t>Small Business</t>
        </is>
      </c>
      <c r="B188" t="inlineStr">
        <is>
          <t>Germany</t>
        </is>
      </c>
      <c r="C188" t="inlineStr">
        <is>
          <t xml:space="preserve"> Montana </t>
        </is>
      </c>
      <c r="D188" t="inlineStr">
        <is>
          <t xml:space="preserve"> Low </t>
        </is>
      </c>
      <c r="E188" t="n">
        <v>2021</v>
      </c>
      <c r="F188" s="69" t="n">
        <v>5</v>
      </c>
      <c r="G188" s="69" t="n">
        <v>300</v>
      </c>
      <c r="H188" s="69" t="n">
        <v>606300</v>
      </c>
      <c r="I188" s="5" t="n">
        <v>24252</v>
      </c>
      <c r="J188" s="69" t="n">
        <v>582048</v>
      </c>
      <c r="K188" s="69" t="n">
        <v>505250</v>
      </c>
      <c r="L188" s="69" t="n">
        <v>76798</v>
      </c>
      <c r="M188" s="1" t="n">
        <v>41649</v>
      </c>
      <c r="N188" t="n">
        <v>10</v>
      </c>
      <c r="O188" t="inlineStr">
        <is>
          <t xml:space="preserve"> October </t>
        </is>
      </c>
      <c r="P188" t="n">
        <v>2014</v>
      </c>
      <c r="Q188">
        <f>IF(Financials[[#This Row],[ Units_Sold ]]&lt;&gt;INT(Financials[[#This Row],[ Units_Sold ]]),1,0)</f>
        <v/>
      </c>
      <c r="R188" s="10">
        <f>Financials[[#This Row],[ Profit ]]/Financials[[#This Row],[  Sales ]]</f>
        <v/>
      </c>
      <c r="S188" s="2">
        <f>Financials[[#This Row],[ COGS ]]/Financials[[#This Row],[  Sales ]]</f>
        <v/>
      </c>
      <c r="T188" s="3">
        <f>Financials[[#This Row],[ Discounts ]]/Financials[[#This Row],[  Sales ]]</f>
        <v/>
      </c>
      <c r="U188">
        <f>Financials[[#This Row],[  Sales ]]/Financials[[#This Row],[ Units_Sold ]]</f>
        <v/>
      </c>
      <c r="V188">
        <f>Financials[[#This Row],[ Profit ]]/Financials[[#This Row],[ Units_Sold ]]</f>
        <v/>
      </c>
      <c r="W188">
        <f>IF(Financials[[#This Row],[ Profit ]]&lt;0,1,0)</f>
        <v/>
      </c>
    </row>
    <row r="189">
      <c r="A189" t="inlineStr">
        <is>
          <t>Government</t>
        </is>
      </c>
      <c r="B189" t="inlineStr">
        <is>
          <t>Canada</t>
        </is>
      </c>
      <c r="C189" t="inlineStr">
        <is>
          <t xml:space="preserve"> Paseo </t>
        </is>
      </c>
      <c r="D189" t="inlineStr">
        <is>
          <t xml:space="preserve"> Low </t>
        </is>
      </c>
      <c r="E189" t="n">
        <v>4251</v>
      </c>
      <c r="F189" s="69" t="n">
        <v>10</v>
      </c>
      <c r="G189" s="69" t="n">
        <v>7</v>
      </c>
      <c r="H189" s="69" t="n">
        <v>29757</v>
      </c>
      <c r="I189" s="5" t="n">
        <v>1190.28</v>
      </c>
      <c r="J189" s="69" t="n">
        <v>28566.72</v>
      </c>
      <c r="K189" s="69" t="n">
        <v>21255</v>
      </c>
      <c r="L189" s="69" t="n">
        <v>7311.72</v>
      </c>
      <c r="M189" s="1" t="n">
        <v>41640</v>
      </c>
      <c r="N189" t="n">
        <v>1</v>
      </c>
      <c r="O189" t="inlineStr">
        <is>
          <t xml:space="preserve"> January </t>
        </is>
      </c>
      <c r="P189" t="n">
        <v>2014</v>
      </c>
      <c r="Q189">
        <f>IF(Financials[[#This Row],[ Units_Sold ]]&lt;&gt;INT(Financials[[#This Row],[ Units_Sold ]]),1,0)</f>
        <v/>
      </c>
      <c r="R189" s="10">
        <f>Financials[[#This Row],[ Profit ]]/Financials[[#This Row],[  Sales ]]</f>
        <v/>
      </c>
      <c r="S189" s="2">
        <f>Financials[[#This Row],[ COGS ]]/Financials[[#This Row],[  Sales ]]</f>
        <v/>
      </c>
      <c r="T189" s="3">
        <f>Financials[[#This Row],[ Discounts ]]/Financials[[#This Row],[  Sales ]]</f>
        <v/>
      </c>
      <c r="U189">
        <f>Financials[[#This Row],[  Sales ]]/Financials[[#This Row],[ Units_Sold ]]</f>
        <v/>
      </c>
      <c r="V189">
        <f>Financials[[#This Row],[ Profit ]]/Financials[[#This Row],[ Units_Sold ]]</f>
        <v/>
      </c>
      <c r="W189">
        <f>IF(Financials[[#This Row],[ Profit ]]&lt;0,1,0)</f>
        <v/>
      </c>
    </row>
    <row r="190">
      <c r="A190" t="inlineStr">
        <is>
          <t>Small Business</t>
        </is>
      </c>
      <c r="B190" t="inlineStr">
        <is>
          <t>Germany</t>
        </is>
      </c>
      <c r="C190" t="inlineStr">
        <is>
          <t xml:space="preserve"> Paseo </t>
        </is>
      </c>
      <c r="D190" t="inlineStr">
        <is>
          <t xml:space="preserve"> Low </t>
        </is>
      </c>
      <c r="E190" t="n">
        <v>1414.5</v>
      </c>
      <c r="F190" s="69" t="n">
        <v>10</v>
      </c>
      <c r="G190" s="69" t="n">
        <v>300</v>
      </c>
      <c r="H190" s="69" t="n">
        <v>424350</v>
      </c>
      <c r="I190" s="5" t="n">
        <v>16974</v>
      </c>
      <c r="J190" s="69" t="n">
        <v>407376</v>
      </c>
      <c r="K190" s="69" t="n">
        <v>353625</v>
      </c>
      <c r="L190" s="69" t="n">
        <v>53751</v>
      </c>
      <c r="M190" s="1" t="n">
        <v>41643</v>
      </c>
      <c r="N190" t="n">
        <v>4</v>
      </c>
      <c r="O190" t="inlineStr">
        <is>
          <t xml:space="preserve"> April </t>
        </is>
      </c>
      <c r="P190" t="n">
        <v>2014</v>
      </c>
      <c r="Q190">
        <f>IF(Financials[[#This Row],[ Units_Sold ]]&lt;&gt;INT(Financials[[#This Row],[ Units_Sold ]]),1,0)</f>
        <v/>
      </c>
      <c r="R190" s="10">
        <f>Financials[[#This Row],[ Profit ]]/Financials[[#This Row],[  Sales ]]</f>
        <v/>
      </c>
      <c r="S190" s="2">
        <f>Financials[[#This Row],[ COGS ]]/Financials[[#This Row],[  Sales ]]</f>
        <v/>
      </c>
      <c r="T190" s="3">
        <f>Financials[[#This Row],[ Discounts ]]/Financials[[#This Row],[  Sales ]]</f>
        <v/>
      </c>
      <c r="U190">
        <f>Financials[[#This Row],[  Sales ]]/Financials[[#This Row],[ Units_Sold ]]</f>
        <v/>
      </c>
      <c r="V190">
        <f>Financials[[#This Row],[ Profit ]]/Financials[[#This Row],[ Units_Sold ]]</f>
        <v/>
      </c>
      <c r="W190">
        <f>IF(Financials[[#This Row],[ Profit ]]&lt;0,1,0)</f>
        <v/>
      </c>
    </row>
    <row r="191">
      <c r="A191" t="inlineStr">
        <is>
          <t>Small Business</t>
        </is>
      </c>
      <c r="B191" t="inlineStr">
        <is>
          <t>United States of America</t>
        </is>
      </c>
      <c r="C191" t="inlineStr">
        <is>
          <t xml:space="preserve"> Paseo </t>
        </is>
      </c>
      <c r="D191" t="inlineStr">
        <is>
          <t xml:space="preserve"> Low </t>
        </is>
      </c>
      <c r="E191" t="n">
        <v>2918</v>
      </c>
      <c r="F191" s="69" t="n">
        <v>10</v>
      </c>
      <c r="G191" s="69" t="n">
        <v>300</v>
      </c>
      <c r="H191" s="69" t="n">
        <v>875400</v>
      </c>
      <c r="I191" s="5" t="n">
        <v>35016</v>
      </c>
      <c r="J191" s="69" t="n">
        <v>840384</v>
      </c>
      <c r="K191" s="69" t="n">
        <v>729500</v>
      </c>
      <c r="L191" s="69" t="n">
        <v>110884</v>
      </c>
      <c r="M191" s="1" t="n">
        <v>41644</v>
      </c>
      <c r="N191" t="n">
        <v>5</v>
      </c>
      <c r="O191" t="inlineStr">
        <is>
          <t xml:space="preserve"> May </t>
        </is>
      </c>
      <c r="P191" t="n">
        <v>2014</v>
      </c>
      <c r="Q191">
        <f>IF(Financials[[#This Row],[ Units_Sold ]]&lt;&gt;INT(Financials[[#This Row],[ Units_Sold ]]),1,0)</f>
        <v/>
      </c>
      <c r="R191" s="10">
        <f>Financials[[#This Row],[ Profit ]]/Financials[[#This Row],[  Sales ]]</f>
        <v/>
      </c>
      <c r="S191" s="2">
        <f>Financials[[#This Row],[ COGS ]]/Financials[[#This Row],[  Sales ]]</f>
        <v/>
      </c>
      <c r="T191" s="3">
        <f>Financials[[#This Row],[ Discounts ]]/Financials[[#This Row],[  Sales ]]</f>
        <v/>
      </c>
      <c r="U191">
        <f>Financials[[#This Row],[  Sales ]]/Financials[[#This Row],[ Units_Sold ]]</f>
        <v/>
      </c>
      <c r="V191">
        <f>Financials[[#This Row],[ Profit ]]/Financials[[#This Row],[ Units_Sold ]]</f>
        <v/>
      </c>
      <c r="W191">
        <f>IF(Financials[[#This Row],[ Profit ]]&lt;0,1,0)</f>
        <v/>
      </c>
    </row>
    <row r="192">
      <c r="A192" t="inlineStr">
        <is>
          <t>Government</t>
        </is>
      </c>
      <c r="B192" t="inlineStr">
        <is>
          <t>United States of America</t>
        </is>
      </c>
      <c r="C192" t="inlineStr">
        <is>
          <t xml:space="preserve"> Paseo </t>
        </is>
      </c>
      <c r="D192" t="inlineStr">
        <is>
          <t xml:space="preserve"> Low </t>
        </is>
      </c>
      <c r="E192" t="n">
        <v>3450</v>
      </c>
      <c r="F192" s="69" t="n">
        <v>10</v>
      </c>
      <c r="G192" s="69" t="n">
        <v>350</v>
      </c>
      <c r="H192" s="69" t="n">
        <v>1207500</v>
      </c>
      <c r="I192" s="5" t="n">
        <v>48300</v>
      </c>
      <c r="J192" s="69" t="n">
        <v>1159200</v>
      </c>
      <c r="K192" s="69" t="n">
        <v>897000</v>
      </c>
      <c r="L192" s="69" t="n">
        <v>262200</v>
      </c>
      <c r="M192" s="1" t="n">
        <v>41646</v>
      </c>
      <c r="N192" t="n">
        <v>7</v>
      </c>
      <c r="O192" t="inlineStr">
        <is>
          <t xml:space="preserve"> July </t>
        </is>
      </c>
      <c r="P192" t="n">
        <v>2014</v>
      </c>
      <c r="Q192">
        <f>IF(Financials[[#This Row],[ Units_Sold ]]&lt;&gt;INT(Financials[[#This Row],[ Units_Sold ]]),1,0)</f>
        <v/>
      </c>
      <c r="R192" s="10">
        <f>Financials[[#This Row],[ Profit ]]/Financials[[#This Row],[  Sales ]]</f>
        <v/>
      </c>
      <c r="S192" s="2">
        <f>Financials[[#This Row],[ COGS ]]/Financials[[#This Row],[  Sales ]]</f>
        <v/>
      </c>
      <c r="T192" s="3">
        <f>Financials[[#This Row],[ Discounts ]]/Financials[[#This Row],[  Sales ]]</f>
        <v/>
      </c>
      <c r="U192">
        <f>Financials[[#This Row],[  Sales ]]/Financials[[#This Row],[ Units_Sold ]]</f>
        <v/>
      </c>
      <c r="V192">
        <f>Financials[[#This Row],[ Profit ]]/Financials[[#This Row],[ Units_Sold ]]</f>
        <v/>
      </c>
      <c r="W192">
        <f>IF(Financials[[#This Row],[ Profit ]]&lt;0,1,0)</f>
        <v/>
      </c>
    </row>
    <row r="193">
      <c r="A193" t="inlineStr">
        <is>
          <t>Midmarket</t>
        </is>
      </c>
      <c r="B193" t="inlineStr">
        <is>
          <t>Canada</t>
        </is>
      </c>
      <c r="C193" t="inlineStr">
        <is>
          <t xml:space="preserve"> Paseo </t>
        </is>
      </c>
      <c r="D193" t="inlineStr">
        <is>
          <t xml:space="preserve"> Low </t>
        </is>
      </c>
      <c r="E193" t="n">
        <v>218</v>
      </c>
      <c r="F193" s="69" t="n">
        <v>10</v>
      </c>
      <c r="G193" s="69" t="n">
        <v>15</v>
      </c>
      <c r="H193" s="69" t="n">
        <v>3270</v>
      </c>
      <c r="I193" s="5" t="n">
        <v>130.8</v>
      </c>
      <c r="J193" s="69" t="n">
        <v>3139.2</v>
      </c>
      <c r="K193" s="69" t="n">
        <v>2180</v>
      </c>
      <c r="L193" s="69" t="n">
        <v>959.2</v>
      </c>
      <c r="M193" s="1" t="n">
        <v>41648</v>
      </c>
      <c r="N193" t="n">
        <v>9</v>
      </c>
      <c r="O193" t="inlineStr">
        <is>
          <t xml:space="preserve"> September </t>
        </is>
      </c>
      <c r="P193" t="n">
        <v>2014</v>
      </c>
      <c r="Q193">
        <f>IF(Financials[[#This Row],[ Units_Sold ]]&lt;&gt;INT(Financials[[#This Row],[ Units_Sold ]]),1,0)</f>
        <v/>
      </c>
      <c r="R193" s="10">
        <f>Financials[[#This Row],[ Profit ]]/Financials[[#This Row],[  Sales ]]</f>
        <v/>
      </c>
      <c r="S193" s="2">
        <f>Financials[[#This Row],[ COGS ]]/Financials[[#This Row],[  Sales ]]</f>
        <v/>
      </c>
      <c r="T193" s="3">
        <f>Financials[[#This Row],[ Discounts ]]/Financials[[#This Row],[  Sales ]]</f>
        <v/>
      </c>
      <c r="U193">
        <f>Financials[[#This Row],[  Sales ]]/Financials[[#This Row],[ Units_Sold ]]</f>
        <v/>
      </c>
      <c r="V193">
        <f>Financials[[#This Row],[ Profit ]]/Financials[[#This Row],[ Units_Sold ]]</f>
        <v/>
      </c>
      <c r="W193">
        <f>IF(Financials[[#This Row],[ Profit ]]&lt;0,1,0)</f>
        <v/>
      </c>
    </row>
    <row r="194">
      <c r="A194" t="inlineStr">
        <is>
          <t>Government</t>
        </is>
      </c>
      <c r="B194" t="inlineStr">
        <is>
          <t>Canada</t>
        </is>
      </c>
      <c r="C194" t="inlineStr">
        <is>
          <t xml:space="preserve"> Paseo </t>
        </is>
      </c>
      <c r="D194" t="inlineStr">
        <is>
          <t xml:space="preserve"> Low </t>
        </is>
      </c>
      <c r="E194" t="n">
        <v>2074</v>
      </c>
      <c r="F194" s="69" t="n">
        <v>10</v>
      </c>
      <c r="G194" s="69" t="n">
        <v>20</v>
      </c>
      <c r="H194" s="69" t="n">
        <v>41480</v>
      </c>
      <c r="I194" s="5" t="n">
        <v>1659.2</v>
      </c>
      <c r="J194" s="69" t="n">
        <v>39820.8</v>
      </c>
      <c r="K194" s="69" t="n">
        <v>20740</v>
      </c>
      <c r="L194" s="69" t="n">
        <v>19080.8</v>
      </c>
      <c r="M194" s="1" t="n">
        <v>41648</v>
      </c>
      <c r="N194" t="n">
        <v>9</v>
      </c>
      <c r="O194" t="inlineStr">
        <is>
          <t xml:space="preserve"> September </t>
        </is>
      </c>
      <c r="P194" t="n">
        <v>2014</v>
      </c>
      <c r="Q194">
        <f>IF(Financials[[#This Row],[ Units_Sold ]]&lt;&gt;INT(Financials[[#This Row],[ Units_Sold ]]),1,0)</f>
        <v/>
      </c>
      <c r="R194" s="10">
        <f>Financials[[#This Row],[ Profit ]]/Financials[[#This Row],[  Sales ]]</f>
        <v/>
      </c>
      <c r="S194" s="2">
        <f>Financials[[#This Row],[ COGS ]]/Financials[[#This Row],[  Sales ]]</f>
        <v/>
      </c>
      <c r="T194" s="3">
        <f>Financials[[#This Row],[ Discounts ]]/Financials[[#This Row],[  Sales ]]</f>
        <v/>
      </c>
      <c r="U194">
        <f>Financials[[#This Row],[  Sales ]]/Financials[[#This Row],[ Units_Sold ]]</f>
        <v/>
      </c>
      <c r="V194">
        <f>Financials[[#This Row],[ Profit ]]/Financials[[#This Row],[ Units_Sold ]]</f>
        <v/>
      </c>
      <c r="W194">
        <f>IF(Financials[[#This Row],[ Profit ]]&lt;0,1,0)</f>
        <v/>
      </c>
    </row>
    <row r="195">
      <c r="A195" t="inlineStr">
        <is>
          <t>Government</t>
        </is>
      </c>
      <c r="B195" t="inlineStr">
        <is>
          <t>United States of America</t>
        </is>
      </c>
      <c r="C195" t="inlineStr">
        <is>
          <t xml:space="preserve"> Paseo </t>
        </is>
      </c>
      <c r="D195" t="inlineStr">
        <is>
          <t xml:space="preserve"> Low </t>
        </is>
      </c>
      <c r="E195" t="n">
        <v>1056</v>
      </c>
      <c r="F195" s="69" t="n">
        <v>10</v>
      </c>
      <c r="G195" s="69" t="n">
        <v>20</v>
      </c>
      <c r="H195" s="69" t="n">
        <v>21120</v>
      </c>
      <c r="I195" s="5" t="n">
        <v>844.8</v>
      </c>
      <c r="J195" s="69" t="n">
        <v>20275.2</v>
      </c>
      <c r="K195" s="69" t="n">
        <v>10560</v>
      </c>
      <c r="L195" s="69" t="n">
        <v>9715.200000000001</v>
      </c>
      <c r="M195" s="1" t="n">
        <v>41648</v>
      </c>
      <c r="N195" t="n">
        <v>9</v>
      </c>
      <c r="O195" t="inlineStr">
        <is>
          <t xml:space="preserve"> September </t>
        </is>
      </c>
      <c r="P195" t="n">
        <v>2014</v>
      </c>
      <c r="Q195">
        <f>IF(Financials[[#This Row],[ Units_Sold ]]&lt;&gt;INT(Financials[[#This Row],[ Units_Sold ]]),1,0)</f>
        <v/>
      </c>
      <c r="R195" s="10">
        <f>Financials[[#This Row],[ Profit ]]/Financials[[#This Row],[  Sales ]]</f>
        <v/>
      </c>
      <c r="S195" s="2">
        <f>Financials[[#This Row],[ COGS ]]/Financials[[#This Row],[  Sales ]]</f>
        <v/>
      </c>
      <c r="T195" s="3">
        <f>Financials[[#This Row],[ Discounts ]]/Financials[[#This Row],[  Sales ]]</f>
        <v/>
      </c>
      <c r="U195">
        <f>Financials[[#This Row],[  Sales ]]/Financials[[#This Row],[ Units_Sold ]]</f>
        <v/>
      </c>
      <c r="V195">
        <f>Financials[[#This Row],[ Profit ]]/Financials[[#This Row],[ Units_Sold ]]</f>
        <v/>
      </c>
      <c r="W195">
        <f>IF(Financials[[#This Row],[ Profit ]]&lt;0,1,0)</f>
        <v/>
      </c>
    </row>
    <row r="196">
      <c r="A196" t="inlineStr">
        <is>
          <t>Midmarket</t>
        </is>
      </c>
      <c r="B196" t="inlineStr">
        <is>
          <t>United States of America</t>
        </is>
      </c>
      <c r="C196" t="inlineStr">
        <is>
          <t xml:space="preserve"> Paseo </t>
        </is>
      </c>
      <c r="D196" t="inlineStr">
        <is>
          <t xml:space="preserve"> Low </t>
        </is>
      </c>
      <c r="E196" t="n">
        <v>671</v>
      </c>
      <c r="F196" s="69" t="n">
        <v>10</v>
      </c>
      <c r="G196" s="69" t="n">
        <v>15</v>
      </c>
      <c r="H196" s="69" t="n">
        <v>10065</v>
      </c>
      <c r="I196" s="5" t="n">
        <v>402.6</v>
      </c>
      <c r="J196" s="69" t="n">
        <v>9662.4</v>
      </c>
      <c r="K196" s="69" t="n">
        <v>6710</v>
      </c>
      <c r="L196" s="69" t="n">
        <v>2952.4</v>
      </c>
      <c r="M196" s="1" t="n">
        <v>41284</v>
      </c>
      <c r="N196" t="n">
        <v>10</v>
      </c>
      <c r="O196" t="inlineStr">
        <is>
          <t xml:space="preserve"> October </t>
        </is>
      </c>
      <c r="P196" t="n">
        <v>2013</v>
      </c>
      <c r="Q196">
        <f>IF(Financials[[#This Row],[ Units_Sold ]]&lt;&gt;INT(Financials[[#This Row],[ Units_Sold ]]),1,0)</f>
        <v/>
      </c>
      <c r="R196" s="10">
        <f>Financials[[#This Row],[ Profit ]]/Financials[[#This Row],[  Sales ]]</f>
        <v/>
      </c>
      <c r="S196" s="2">
        <f>Financials[[#This Row],[ COGS ]]/Financials[[#This Row],[  Sales ]]</f>
        <v/>
      </c>
      <c r="T196" s="3">
        <f>Financials[[#This Row],[ Discounts ]]/Financials[[#This Row],[  Sales ]]</f>
        <v/>
      </c>
      <c r="U196">
        <f>Financials[[#This Row],[  Sales ]]/Financials[[#This Row],[ Units_Sold ]]</f>
        <v/>
      </c>
      <c r="V196">
        <f>Financials[[#This Row],[ Profit ]]/Financials[[#This Row],[ Units_Sold ]]</f>
        <v/>
      </c>
      <c r="W196">
        <f>IF(Financials[[#This Row],[ Profit ]]&lt;0,1,0)</f>
        <v/>
      </c>
    </row>
    <row r="197">
      <c r="A197" t="inlineStr">
        <is>
          <t>Midmarket</t>
        </is>
      </c>
      <c r="B197" t="inlineStr">
        <is>
          <t>Mexico</t>
        </is>
      </c>
      <c r="C197" t="inlineStr">
        <is>
          <t xml:space="preserve"> Paseo </t>
        </is>
      </c>
      <c r="D197" t="inlineStr">
        <is>
          <t xml:space="preserve"> Low </t>
        </is>
      </c>
      <c r="E197" t="n">
        <v>1514</v>
      </c>
      <c r="F197" s="69" t="n">
        <v>10</v>
      </c>
      <c r="G197" s="69" t="n">
        <v>15</v>
      </c>
      <c r="H197" s="69" t="n">
        <v>22710</v>
      </c>
      <c r="I197" s="5" t="n">
        <v>908.4</v>
      </c>
      <c r="J197" s="69" t="n">
        <v>21801.6</v>
      </c>
      <c r="K197" s="69" t="n">
        <v>15140</v>
      </c>
      <c r="L197" s="69" t="n">
        <v>6661.6</v>
      </c>
      <c r="M197" s="1" t="n">
        <v>41284</v>
      </c>
      <c r="N197" t="n">
        <v>10</v>
      </c>
      <c r="O197" t="inlineStr">
        <is>
          <t xml:space="preserve"> October </t>
        </is>
      </c>
      <c r="P197" t="n">
        <v>2013</v>
      </c>
      <c r="Q197">
        <f>IF(Financials[[#This Row],[ Units_Sold ]]&lt;&gt;INT(Financials[[#This Row],[ Units_Sold ]]),1,0)</f>
        <v/>
      </c>
      <c r="R197" s="10">
        <f>Financials[[#This Row],[ Profit ]]/Financials[[#This Row],[  Sales ]]</f>
        <v/>
      </c>
      <c r="S197" s="2">
        <f>Financials[[#This Row],[ COGS ]]/Financials[[#This Row],[  Sales ]]</f>
        <v/>
      </c>
      <c r="T197" s="3">
        <f>Financials[[#This Row],[ Discounts ]]/Financials[[#This Row],[  Sales ]]</f>
        <v/>
      </c>
      <c r="U197">
        <f>Financials[[#This Row],[  Sales ]]/Financials[[#This Row],[ Units_Sold ]]</f>
        <v/>
      </c>
      <c r="V197">
        <f>Financials[[#This Row],[ Profit ]]/Financials[[#This Row],[ Units_Sold ]]</f>
        <v/>
      </c>
      <c r="W197">
        <f>IF(Financials[[#This Row],[ Profit ]]&lt;0,1,0)</f>
        <v/>
      </c>
    </row>
    <row r="198">
      <c r="A198" t="inlineStr">
        <is>
          <t>Government</t>
        </is>
      </c>
      <c r="B198" t="inlineStr">
        <is>
          <t>United States of America</t>
        </is>
      </c>
      <c r="C198" t="inlineStr">
        <is>
          <t xml:space="preserve"> Paseo </t>
        </is>
      </c>
      <c r="D198" t="inlineStr">
        <is>
          <t xml:space="preserve"> Low </t>
        </is>
      </c>
      <c r="E198" t="n">
        <v>274</v>
      </c>
      <c r="F198" s="69" t="n">
        <v>10</v>
      </c>
      <c r="G198" s="69" t="n">
        <v>350</v>
      </c>
      <c r="H198" s="69" t="n">
        <v>95900</v>
      </c>
      <c r="I198" s="5" t="n">
        <v>3836</v>
      </c>
      <c r="J198" s="69" t="n">
        <v>92064</v>
      </c>
      <c r="K198" s="69" t="n">
        <v>71240</v>
      </c>
      <c r="L198" s="69" t="n">
        <v>20824</v>
      </c>
      <c r="M198" s="1" t="n">
        <v>41651</v>
      </c>
      <c r="N198" t="n">
        <v>12</v>
      </c>
      <c r="O198" t="inlineStr">
        <is>
          <t xml:space="preserve"> December </t>
        </is>
      </c>
      <c r="P198" t="n">
        <v>2014</v>
      </c>
      <c r="Q198">
        <f>IF(Financials[[#This Row],[ Units_Sold ]]&lt;&gt;INT(Financials[[#This Row],[ Units_Sold ]]),1,0)</f>
        <v/>
      </c>
      <c r="R198" s="10">
        <f>Financials[[#This Row],[ Profit ]]/Financials[[#This Row],[  Sales ]]</f>
        <v/>
      </c>
      <c r="S198" s="2">
        <f>Financials[[#This Row],[ COGS ]]/Financials[[#This Row],[  Sales ]]</f>
        <v/>
      </c>
      <c r="T198" s="3">
        <f>Financials[[#This Row],[ Discounts ]]/Financials[[#This Row],[  Sales ]]</f>
        <v/>
      </c>
      <c r="U198">
        <f>Financials[[#This Row],[  Sales ]]/Financials[[#This Row],[ Units_Sold ]]</f>
        <v/>
      </c>
      <c r="V198">
        <f>Financials[[#This Row],[ Profit ]]/Financials[[#This Row],[ Units_Sold ]]</f>
        <v/>
      </c>
      <c r="W198">
        <f>IF(Financials[[#This Row],[ Profit ]]&lt;0,1,0)</f>
        <v/>
      </c>
    </row>
    <row r="199">
      <c r="A199" t="inlineStr">
        <is>
          <t>Channel Partners</t>
        </is>
      </c>
      <c r="B199" t="inlineStr">
        <is>
          <t>United States of America</t>
        </is>
      </c>
      <c r="C199" t="inlineStr">
        <is>
          <t xml:space="preserve"> Velo </t>
        </is>
      </c>
      <c r="D199" t="inlineStr">
        <is>
          <t xml:space="preserve"> Low </t>
        </is>
      </c>
      <c r="E199" t="n">
        <v>1465</v>
      </c>
      <c r="F199" s="69" t="n">
        <v>120</v>
      </c>
      <c r="G199" s="69" t="n">
        <v>12</v>
      </c>
      <c r="H199" s="69" t="n">
        <v>17580</v>
      </c>
      <c r="I199" s="5" t="n">
        <v>703.2</v>
      </c>
      <c r="J199" s="69" t="n">
        <v>16876.8</v>
      </c>
      <c r="K199" s="69" t="n">
        <v>4395</v>
      </c>
      <c r="L199" s="69" t="n">
        <v>12481.8</v>
      </c>
      <c r="M199" s="1" t="n">
        <v>41642</v>
      </c>
      <c r="N199" t="n">
        <v>3</v>
      </c>
      <c r="O199" t="inlineStr">
        <is>
          <t xml:space="preserve"> March </t>
        </is>
      </c>
      <c r="P199" t="n">
        <v>2014</v>
      </c>
      <c r="Q199">
        <f>IF(Financials[[#This Row],[ Units_Sold ]]&lt;&gt;INT(Financials[[#This Row],[ Units_Sold ]]),1,0)</f>
        <v/>
      </c>
      <c r="R199" s="10">
        <f>Financials[[#This Row],[ Profit ]]/Financials[[#This Row],[  Sales ]]</f>
        <v/>
      </c>
      <c r="S199" s="2">
        <f>Financials[[#This Row],[ COGS ]]/Financials[[#This Row],[  Sales ]]</f>
        <v/>
      </c>
      <c r="T199" s="3">
        <f>Financials[[#This Row],[ Discounts ]]/Financials[[#This Row],[  Sales ]]</f>
        <v/>
      </c>
      <c r="U199">
        <f>Financials[[#This Row],[  Sales ]]/Financials[[#This Row],[ Units_Sold ]]</f>
        <v/>
      </c>
      <c r="V199">
        <f>Financials[[#This Row],[ Profit ]]/Financials[[#This Row],[ Units_Sold ]]</f>
        <v/>
      </c>
      <c r="W199">
        <f>IF(Financials[[#This Row],[ Profit ]]&lt;0,1,0)</f>
        <v/>
      </c>
    </row>
    <row r="200">
      <c r="A200" t="inlineStr">
        <is>
          <t>Government</t>
        </is>
      </c>
      <c r="B200" t="inlineStr">
        <is>
          <t>Canada</t>
        </is>
      </c>
      <c r="C200" t="inlineStr">
        <is>
          <t xml:space="preserve"> Velo </t>
        </is>
      </c>
      <c r="D200" t="inlineStr">
        <is>
          <t xml:space="preserve"> Low </t>
        </is>
      </c>
      <c r="E200" t="n">
        <v>2646</v>
      </c>
      <c r="F200" s="69" t="n">
        <v>120</v>
      </c>
      <c r="G200" s="69" t="n">
        <v>20</v>
      </c>
      <c r="H200" s="69" t="n">
        <v>52920</v>
      </c>
      <c r="I200" s="5" t="n">
        <v>2116.8</v>
      </c>
      <c r="J200" s="69" t="n">
        <v>50803.2</v>
      </c>
      <c r="K200" s="69" t="n">
        <v>26460</v>
      </c>
      <c r="L200" s="69" t="n">
        <v>24343.2</v>
      </c>
      <c r="M200" s="1" t="n">
        <v>41283</v>
      </c>
      <c r="N200" t="n">
        <v>9</v>
      </c>
      <c r="O200" t="inlineStr">
        <is>
          <t xml:space="preserve"> September </t>
        </is>
      </c>
      <c r="P200" t="n">
        <v>2013</v>
      </c>
      <c r="Q200">
        <f>IF(Financials[[#This Row],[ Units_Sold ]]&lt;&gt;INT(Financials[[#This Row],[ Units_Sold ]]),1,0)</f>
        <v/>
      </c>
      <c r="R200" s="10">
        <f>Financials[[#This Row],[ Profit ]]/Financials[[#This Row],[  Sales ]]</f>
        <v/>
      </c>
      <c r="S200" s="2">
        <f>Financials[[#This Row],[ COGS ]]/Financials[[#This Row],[  Sales ]]</f>
        <v/>
      </c>
      <c r="T200" s="3">
        <f>Financials[[#This Row],[ Discounts ]]/Financials[[#This Row],[  Sales ]]</f>
        <v/>
      </c>
      <c r="U200">
        <f>Financials[[#This Row],[  Sales ]]/Financials[[#This Row],[ Units_Sold ]]</f>
        <v/>
      </c>
      <c r="V200">
        <f>Financials[[#This Row],[ Profit ]]/Financials[[#This Row],[ Units_Sold ]]</f>
        <v/>
      </c>
      <c r="W200">
        <f>IF(Financials[[#This Row],[ Profit ]]&lt;0,1,0)</f>
        <v/>
      </c>
    </row>
    <row r="201">
      <c r="A201" t="inlineStr">
        <is>
          <t>Government</t>
        </is>
      </c>
      <c r="B201" t="inlineStr">
        <is>
          <t>France</t>
        </is>
      </c>
      <c r="C201" t="inlineStr">
        <is>
          <t xml:space="preserve"> Velo </t>
        </is>
      </c>
      <c r="D201" t="inlineStr">
        <is>
          <t xml:space="preserve"> Low </t>
        </is>
      </c>
      <c r="E201" t="n">
        <v>2177</v>
      </c>
      <c r="F201" s="69" t="n">
        <v>120</v>
      </c>
      <c r="G201" s="69" t="n">
        <v>350</v>
      </c>
      <c r="H201" s="69" t="n">
        <v>761950</v>
      </c>
      <c r="I201" s="5" t="n">
        <v>30478</v>
      </c>
      <c r="J201" s="69" t="n">
        <v>731472</v>
      </c>
      <c r="K201" s="69" t="n">
        <v>566020</v>
      </c>
      <c r="L201" s="69" t="n">
        <v>165452</v>
      </c>
      <c r="M201" s="1" t="n">
        <v>41649</v>
      </c>
      <c r="N201" t="n">
        <v>10</v>
      </c>
      <c r="O201" t="inlineStr">
        <is>
          <t xml:space="preserve"> October </t>
        </is>
      </c>
      <c r="P201" t="n">
        <v>2014</v>
      </c>
      <c r="Q201">
        <f>IF(Financials[[#This Row],[ Units_Sold ]]&lt;&gt;INT(Financials[[#This Row],[ Units_Sold ]]),1,0)</f>
        <v/>
      </c>
      <c r="R201" s="10">
        <f>Financials[[#This Row],[ Profit ]]/Financials[[#This Row],[  Sales ]]</f>
        <v/>
      </c>
      <c r="S201" s="2">
        <f>Financials[[#This Row],[ COGS ]]/Financials[[#This Row],[  Sales ]]</f>
        <v/>
      </c>
      <c r="T201" s="3">
        <f>Financials[[#This Row],[ Discounts ]]/Financials[[#This Row],[  Sales ]]</f>
        <v/>
      </c>
      <c r="U201">
        <f>Financials[[#This Row],[  Sales ]]/Financials[[#This Row],[ Units_Sold ]]</f>
        <v/>
      </c>
      <c r="V201">
        <f>Financials[[#This Row],[ Profit ]]/Financials[[#This Row],[ Units_Sold ]]</f>
        <v/>
      </c>
      <c r="W201">
        <f>IF(Financials[[#This Row],[ Profit ]]&lt;0,1,0)</f>
        <v/>
      </c>
    </row>
    <row r="202">
      <c r="A202" t="inlineStr">
        <is>
          <t>Channel Partners</t>
        </is>
      </c>
      <c r="B202" t="inlineStr">
        <is>
          <t>France</t>
        </is>
      </c>
      <c r="C202" t="inlineStr">
        <is>
          <t xml:space="preserve"> VTT </t>
        </is>
      </c>
      <c r="D202" t="inlineStr">
        <is>
          <t xml:space="preserve"> Low </t>
        </is>
      </c>
      <c r="E202" t="n">
        <v>866</v>
      </c>
      <c r="F202" s="69" t="n">
        <v>250</v>
      </c>
      <c r="G202" s="69" t="n">
        <v>12</v>
      </c>
      <c r="H202" s="69" t="n">
        <v>10392</v>
      </c>
      <c r="I202" s="5" t="n">
        <v>415.68</v>
      </c>
      <c r="J202" s="69" t="n">
        <v>9976.32</v>
      </c>
      <c r="K202" s="69" t="n">
        <v>2598</v>
      </c>
      <c r="L202" s="69" t="n">
        <v>7378.32</v>
      </c>
      <c r="M202" s="1" t="n">
        <v>41644</v>
      </c>
      <c r="N202" t="n">
        <v>5</v>
      </c>
      <c r="O202" t="inlineStr">
        <is>
          <t xml:space="preserve"> May </t>
        </is>
      </c>
      <c r="P202" t="n">
        <v>2014</v>
      </c>
      <c r="Q202">
        <f>IF(Financials[[#This Row],[ Units_Sold ]]&lt;&gt;INT(Financials[[#This Row],[ Units_Sold ]]),1,0)</f>
        <v/>
      </c>
      <c r="R202" s="10">
        <f>Financials[[#This Row],[ Profit ]]/Financials[[#This Row],[  Sales ]]</f>
        <v/>
      </c>
      <c r="S202" s="2">
        <f>Financials[[#This Row],[ COGS ]]/Financials[[#This Row],[  Sales ]]</f>
        <v/>
      </c>
      <c r="T202" s="3">
        <f>Financials[[#This Row],[ Discounts ]]/Financials[[#This Row],[  Sales ]]</f>
        <v/>
      </c>
      <c r="U202">
        <f>Financials[[#This Row],[  Sales ]]/Financials[[#This Row],[ Units_Sold ]]</f>
        <v/>
      </c>
      <c r="V202">
        <f>Financials[[#This Row],[ Profit ]]/Financials[[#This Row],[ Units_Sold ]]</f>
        <v/>
      </c>
      <c r="W202">
        <f>IF(Financials[[#This Row],[ Profit ]]&lt;0,1,0)</f>
        <v/>
      </c>
    </row>
    <row r="203">
      <c r="A203" t="inlineStr">
        <is>
          <t>Government</t>
        </is>
      </c>
      <c r="B203" t="inlineStr">
        <is>
          <t>United States of America</t>
        </is>
      </c>
      <c r="C203" t="inlineStr">
        <is>
          <t xml:space="preserve"> VTT </t>
        </is>
      </c>
      <c r="D203" t="inlineStr">
        <is>
          <t xml:space="preserve"> Low </t>
        </is>
      </c>
      <c r="E203" t="n">
        <v>349</v>
      </c>
      <c r="F203" s="69" t="n">
        <v>250</v>
      </c>
      <c r="G203" s="69" t="n">
        <v>350</v>
      </c>
      <c r="H203" s="69" t="n">
        <v>122150</v>
      </c>
      <c r="I203" s="5" t="n">
        <v>4886</v>
      </c>
      <c r="J203" s="69" t="n">
        <v>117264</v>
      </c>
      <c r="K203" s="69" t="n">
        <v>90740</v>
      </c>
      <c r="L203" s="69" t="n">
        <v>26524</v>
      </c>
      <c r="M203" s="1" t="n">
        <v>41283</v>
      </c>
      <c r="N203" t="n">
        <v>9</v>
      </c>
      <c r="O203" t="inlineStr">
        <is>
          <t xml:space="preserve"> September </t>
        </is>
      </c>
      <c r="P203" t="n">
        <v>2013</v>
      </c>
      <c r="Q203">
        <f>IF(Financials[[#This Row],[ Units_Sold ]]&lt;&gt;INT(Financials[[#This Row],[ Units_Sold ]]),1,0)</f>
        <v/>
      </c>
      <c r="R203" s="10">
        <f>Financials[[#This Row],[ Profit ]]/Financials[[#This Row],[  Sales ]]</f>
        <v/>
      </c>
      <c r="S203" s="2">
        <f>Financials[[#This Row],[ COGS ]]/Financials[[#This Row],[  Sales ]]</f>
        <v/>
      </c>
      <c r="T203" s="3">
        <f>Financials[[#This Row],[ Discounts ]]/Financials[[#This Row],[  Sales ]]</f>
        <v/>
      </c>
      <c r="U203">
        <f>Financials[[#This Row],[  Sales ]]/Financials[[#This Row],[ Units_Sold ]]</f>
        <v/>
      </c>
      <c r="V203">
        <f>Financials[[#This Row],[ Profit ]]/Financials[[#This Row],[ Units_Sold ]]</f>
        <v/>
      </c>
      <c r="W203">
        <f>IF(Financials[[#This Row],[ Profit ]]&lt;0,1,0)</f>
        <v/>
      </c>
    </row>
    <row r="204">
      <c r="A204" t="inlineStr">
        <is>
          <t>Government</t>
        </is>
      </c>
      <c r="B204" t="inlineStr">
        <is>
          <t>France</t>
        </is>
      </c>
      <c r="C204" t="inlineStr">
        <is>
          <t xml:space="preserve"> VTT </t>
        </is>
      </c>
      <c r="D204" t="inlineStr">
        <is>
          <t xml:space="preserve"> Low </t>
        </is>
      </c>
      <c r="E204" t="n">
        <v>2177</v>
      </c>
      <c r="F204" s="69" t="n">
        <v>250</v>
      </c>
      <c r="G204" s="69" t="n">
        <v>350</v>
      </c>
      <c r="H204" s="69" t="n">
        <v>761950</v>
      </c>
      <c r="I204" s="5" t="n">
        <v>30478</v>
      </c>
      <c r="J204" s="69" t="n">
        <v>731472</v>
      </c>
      <c r="K204" s="69" t="n">
        <v>566020</v>
      </c>
      <c r="L204" s="69" t="n">
        <v>165452</v>
      </c>
      <c r="M204" s="1" t="n">
        <v>41649</v>
      </c>
      <c r="N204" t="n">
        <v>10</v>
      </c>
      <c r="O204" t="inlineStr">
        <is>
          <t xml:space="preserve"> October </t>
        </is>
      </c>
      <c r="P204" t="n">
        <v>2014</v>
      </c>
      <c r="Q204">
        <f>IF(Financials[[#This Row],[ Units_Sold ]]&lt;&gt;INT(Financials[[#This Row],[ Units_Sold ]]),1,0)</f>
        <v/>
      </c>
      <c r="R204" s="10">
        <f>Financials[[#This Row],[ Profit ]]/Financials[[#This Row],[  Sales ]]</f>
        <v/>
      </c>
      <c r="S204" s="2">
        <f>Financials[[#This Row],[ COGS ]]/Financials[[#This Row],[  Sales ]]</f>
        <v/>
      </c>
      <c r="T204" s="3">
        <f>Financials[[#This Row],[ Discounts ]]/Financials[[#This Row],[  Sales ]]</f>
        <v/>
      </c>
      <c r="U204">
        <f>Financials[[#This Row],[  Sales ]]/Financials[[#This Row],[ Units_Sold ]]</f>
        <v/>
      </c>
      <c r="V204">
        <f>Financials[[#This Row],[ Profit ]]/Financials[[#This Row],[ Units_Sold ]]</f>
        <v/>
      </c>
      <c r="W204">
        <f>IF(Financials[[#This Row],[ Profit ]]&lt;0,1,0)</f>
        <v/>
      </c>
    </row>
    <row r="205">
      <c r="A205" t="inlineStr">
        <is>
          <t>Midmarket</t>
        </is>
      </c>
      <c r="B205" t="inlineStr">
        <is>
          <t>Mexico</t>
        </is>
      </c>
      <c r="C205" t="inlineStr">
        <is>
          <t xml:space="preserve"> VTT </t>
        </is>
      </c>
      <c r="D205" t="inlineStr">
        <is>
          <t xml:space="preserve"> Low </t>
        </is>
      </c>
      <c r="E205" t="n">
        <v>1514</v>
      </c>
      <c r="F205" s="69" t="n">
        <v>250</v>
      </c>
      <c r="G205" s="69" t="n">
        <v>15</v>
      </c>
      <c r="H205" s="69" t="n">
        <v>22710</v>
      </c>
      <c r="I205" s="5" t="n">
        <v>908.4</v>
      </c>
      <c r="J205" s="69" t="n">
        <v>21801.6</v>
      </c>
      <c r="K205" s="69" t="n">
        <v>15140</v>
      </c>
      <c r="L205" s="69" t="n">
        <v>6661.6</v>
      </c>
      <c r="M205" s="1" t="n">
        <v>41284</v>
      </c>
      <c r="N205" t="n">
        <v>10</v>
      </c>
      <c r="O205" t="inlineStr">
        <is>
          <t xml:space="preserve"> October </t>
        </is>
      </c>
      <c r="P205" t="n">
        <v>2013</v>
      </c>
      <c r="Q205">
        <f>IF(Financials[[#This Row],[ Units_Sold ]]&lt;&gt;INT(Financials[[#This Row],[ Units_Sold ]]),1,0)</f>
        <v/>
      </c>
      <c r="R205" s="10">
        <f>Financials[[#This Row],[ Profit ]]/Financials[[#This Row],[  Sales ]]</f>
        <v/>
      </c>
      <c r="S205" s="2">
        <f>Financials[[#This Row],[ COGS ]]/Financials[[#This Row],[  Sales ]]</f>
        <v/>
      </c>
      <c r="T205" s="3">
        <f>Financials[[#This Row],[ Discounts ]]/Financials[[#This Row],[  Sales ]]</f>
        <v/>
      </c>
      <c r="U205">
        <f>Financials[[#This Row],[  Sales ]]/Financials[[#This Row],[ Units_Sold ]]</f>
        <v/>
      </c>
      <c r="V205">
        <f>Financials[[#This Row],[ Profit ]]/Financials[[#This Row],[ Units_Sold ]]</f>
        <v/>
      </c>
      <c r="W205">
        <f>IF(Financials[[#This Row],[ Profit ]]&lt;0,1,0)</f>
        <v/>
      </c>
    </row>
    <row r="206">
      <c r="A206" t="inlineStr">
        <is>
          <t>Government</t>
        </is>
      </c>
      <c r="B206" t="inlineStr">
        <is>
          <t>Mexico</t>
        </is>
      </c>
      <c r="C206" t="inlineStr">
        <is>
          <t xml:space="preserve"> Amarilla </t>
        </is>
      </c>
      <c r="D206" t="inlineStr">
        <is>
          <t xml:space="preserve"> Low </t>
        </is>
      </c>
      <c r="E206" t="n">
        <v>1865</v>
      </c>
      <c r="F206" s="69" t="n">
        <v>260</v>
      </c>
      <c r="G206" s="69" t="n">
        <v>350</v>
      </c>
      <c r="H206" s="69" t="n">
        <v>652750</v>
      </c>
      <c r="I206" s="5" t="n">
        <v>26110</v>
      </c>
      <c r="J206" s="69" t="n">
        <v>626640</v>
      </c>
      <c r="K206" s="69" t="n">
        <v>484900</v>
      </c>
      <c r="L206" s="69" t="n">
        <v>141740</v>
      </c>
      <c r="M206" s="1" t="n">
        <v>41641</v>
      </c>
      <c r="N206" t="n">
        <v>2</v>
      </c>
      <c r="O206" t="inlineStr">
        <is>
          <t xml:space="preserve"> February </t>
        </is>
      </c>
      <c r="P206" t="n">
        <v>2014</v>
      </c>
      <c r="Q206">
        <f>IF(Financials[[#This Row],[ Units_Sold ]]&lt;&gt;INT(Financials[[#This Row],[ Units_Sold ]]),1,0)</f>
        <v/>
      </c>
      <c r="R206" s="10">
        <f>Financials[[#This Row],[ Profit ]]/Financials[[#This Row],[  Sales ]]</f>
        <v/>
      </c>
      <c r="S206" s="2">
        <f>Financials[[#This Row],[ COGS ]]/Financials[[#This Row],[  Sales ]]</f>
        <v/>
      </c>
      <c r="T206" s="3">
        <f>Financials[[#This Row],[ Discounts ]]/Financials[[#This Row],[  Sales ]]</f>
        <v/>
      </c>
      <c r="U206">
        <f>Financials[[#This Row],[  Sales ]]/Financials[[#This Row],[ Units_Sold ]]</f>
        <v/>
      </c>
      <c r="V206">
        <f>Financials[[#This Row],[ Profit ]]/Financials[[#This Row],[ Units_Sold ]]</f>
        <v/>
      </c>
      <c r="W206">
        <f>IF(Financials[[#This Row],[ Profit ]]&lt;0,1,0)</f>
        <v/>
      </c>
    </row>
    <row r="207">
      <c r="A207" t="inlineStr">
        <is>
          <t>Government</t>
        </is>
      </c>
      <c r="B207" t="inlineStr">
        <is>
          <t>Germany</t>
        </is>
      </c>
      <c r="C207" t="inlineStr">
        <is>
          <t xml:space="preserve"> Amarilla </t>
        </is>
      </c>
      <c r="D207" t="inlineStr">
        <is>
          <t xml:space="preserve"> Low </t>
        </is>
      </c>
      <c r="E207" t="n">
        <v>1907</v>
      </c>
      <c r="F207" s="69" t="n">
        <v>260</v>
      </c>
      <c r="G207" s="69" t="n">
        <v>350</v>
      </c>
      <c r="H207" s="69" t="n">
        <v>667450</v>
      </c>
      <c r="I207" s="5" t="n">
        <v>26698</v>
      </c>
      <c r="J207" s="69" t="n">
        <v>640752</v>
      </c>
      <c r="K207" s="69" t="n">
        <v>495820</v>
      </c>
      <c r="L207" s="69" t="n">
        <v>144932</v>
      </c>
      <c r="M207" s="1" t="n">
        <v>41648</v>
      </c>
      <c r="N207" t="n">
        <v>9</v>
      </c>
      <c r="O207" t="inlineStr">
        <is>
          <t xml:space="preserve"> September </t>
        </is>
      </c>
      <c r="P207" t="n">
        <v>2014</v>
      </c>
      <c r="Q207">
        <f>IF(Financials[[#This Row],[ Units_Sold ]]&lt;&gt;INT(Financials[[#This Row],[ Units_Sold ]]),1,0)</f>
        <v/>
      </c>
      <c r="R207" s="10">
        <f>Financials[[#This Row],[ Profit ]]/Financials[[#This Row],[  Sales ]]</f>
        <v/>
      </c>
      <c r="S207" s="2">
        <f>Financials[[#This Row],[ COGS ]]/Financials[[#This Row],[  Sales ]]</f>
        <v/>
      </c>
      <c r="T207" s="3">
        <f>Financials[[#This Row],[ Discounts ]]/Financials[[#This Row],[  Sales ]]</f>
        <v/>
      </c>
      <c r="U207">
        <f>Financials[[#This Row],[  Sales ]]/Financials[[#This Row],[ Units_Sold ]]</f>
        <v/>
      </c>
      <c r="V207">
        <f>Financials[[#This Row],[ Profit ]]/Financials[[#This Row],[ Units_Sold ]]</f>
        <v/>
      </c>
      <c r="W207">
        <f>IF(Financials[[#This Row],[ Profit ]]&lt;0,1,0)</f>
        <v/>
      </c>
    </row>
    <row r="208">
      <c r="A208" t="inlineStr">
        <is>
          <t>Midmarket</t>
        </is>
      </c>
      <c r="B208" t="inlineStr">
        <is>
          <t>United States of America</t>
        </is>
      </c>
      <c r="C208" t="inlineStr">
        <is>
          <t xml:space="preserve"> Amarilla </t>
        </is>
      </c>
      <c r="D208" t="inlineStr">
        <is>
          <t xml:space="preserve"> Low </t>
        </is>
      </c>
      <c r="E208" t="n">
        <v>671</v>
      </c>
      <c r="F208" s="69" t="n">
        <v>260</v>
      </c>
      <c r="G208" s="69" t="n">
        <v>15</v>
      </c>
      <c r="H208" s="69" t="n">
        <v>10065</v>
      </c>
      <c r="I208" s="5" t="n">
        <v>402.6</v>
      </c>
      <c r="J208" s="69" t="n">
        <v>9662.4</v>
      </c>
      <c r="K208" s="69" t="n">
        <v>6710</v>
      </c>
      <c r="L208" s="69" t="n">
        <v>2952.4</v>
      </c>
      <c r="M208" s="1" t="n">
        <v>41284</v>
      </c>
      <c r="N208" t="n">
        <v>10</v>
      </c>
      <c r="O208" t="inlineStr">
        <is>
          <t xml:space="preserve"> October </t>
        </is>
      </c>
      <c r="P208" t="n">
        <v>2013</v>
      </c>
      <c r="Q208">
        <f>IF(Financials[[#This Row],[ Units_Sold ]]&lt;&gt;INT(Financials[[#This Row],[ Units_Sold ]]),1,0)</f>
        <v/>
      </c>
      <c r="R208" s="10">
        <f>Financials[[#This Row],[ Profit ]]/Financials[[#This Row],[  Sales ]]</f>
        <v/>
      </c>
      <c r="S208" s="2">
        <f>Financials[[#This Row],[ COGS ]]/Financials[[#This Row],[  Sales ]]</f>
        <v/>
      </c>
      <c r="T208" s="3">
        <f>Financials[[#This Row],[ Discounts ]]/Financials[[#This Row],[  Sales ]]</f>
        <v/>
      </c>
      <c r="U208">
        <f>Financials[[#This Row],[  Sales ]]/Financials[[#This Row],[ Units_Sold ]]</f>
        <v/>
      </c>
      <c r="V208">
        <f>Financials[[#This Row],[ Profit ]]/Financials[[#This Row],[ Units_Sold ]]</f>
        <v/>
      </c>
      <c r="W208">
        <f>IF(Financials[[#This Row],[ Profit ]]&lt;0,1,0)</f>
        <v/>
      </c>
    </row>
    <row r="209">
      <c r="A209" t="inlineStr">
        <is>
          <t>Government</t>
        </is>
      </c>
      <c r="B209" t="inlineStr">
        <is>
          <t>Canada</t>
        </is>
      </c>
      <c r="C209" t="inlineStr">
        <is>
          <t xml:space="preserve"> Amarilla </t>
        </is>
      </c>
      <c r="D209" t="inlineStr">
        <is>
          <t xml:space="preserve"> Low </t>
        </is>
      </c>
      <c r="E209" t="n">
        <v>1778</v>
      </c>
      <c r="F209" s="69" t="n">
        <v>260</v>
      </c>
      <c r="G209" s="69" t="n">
        <v>350</v>
      </c>
      <c r="H209" s="69" t="n">
        <v>622300</v>
      </c>
      <c r="I209" s="5" t="n">
        <v>24892</v>
      </c>
      <c r="J209" s="69" t="n">
        <v>597408</v>
      </c>
      <c r="K209" s="69" t="n">
        <v>462280</v>
      </c>
      <c r="L209" s="69" t="n">
        <v>135128</v>
      </c>
      <c r="M209" s="1" t="n">
        <v>41286</v>
      </c>
      <c r="N209" t="n">
        <v>12</v>
      </c>
      <c r="O209" t="inlineStr">
        <is>
          <t xml:space="preserve"> December </t>
        </is>
      </c>
      <c r="P209" t="n">
        <v>2013</v>
      </c>
      <c r="Q209">
        <f>IF(Financials[[#This Row],[ Units_Sold ]]&lt;&gt;INT(Financials[[#This Row],[ Units_Sold ]]),1,0)</f>
        <v/>
      </c>
      <c r="R209" s="10">
        <f>Financials[[#This Row],[ Profit ]]/Financials[[#This Row],[  Sales ]]</f>
        <v/>
      </c>
      <c r="S209" s="2">
        <f>Financials[[#This Row],[ COGS ]]/Financials[[#This Row],[  Sales ]]</f>
        <v/>
      </c>
      <c r="T209" s="3">
        <f>Financials[[#This Row],[ Discounts ]]/Financials[[#This Row],[  Sales ]]</f>
        <v/>
      </c>
      <c r="U209">
        <f>Financials[[#This Row],[  Sales ]]/Financials[[#This Row],[ Units_Sold ]]</f>
        <v/>
      </c>
      <c r="V209">
        <f>Financials[[#This Row],[ Profit ]]/Financials[[#This Row],[ Units_Sold ]]</f>
        <v/>
      </c>
      <c r="W209">
        <f>IF(Financials[[#This Row],[ Profit ]]&lt;0,1,0)</f>
        <v/>
      </c>
    </row>
    <row r="210">
      <c r="A210" t="inlineStr">
        <is>
          <t>Government</t>
        </is>
      </c>
      <c r="B210" t="inlineStr">
        <is>
          <t>Germany</t>
        </is>
      </c>
      <c r="C210" t="inlineStr">
        <is>
          <t xml:space="preserve"> Montana </t>
        </is>
      </c>
      <c r="D210" t="inlineStr">
        <is>
          <t xml:space="preserve"> Medium </t>
        </is>
      </c>
      <c r="E210" t="n">
        <v>1159</v>
      </c>
      <c r="F210" s="69" t="n">
        <v>5</v>
      </c>
      <c r="G210" s="69" t="n">
        <v>7</v>
      </c>
      <c r="H210" s="69" t="n">
        <v>8113</v>
      </c>
      <c r="I210" s="5" t="n">
        <v>405.65</v>
      </c>
      <c r="J210" s="69" t="n">
        <v>7707.35</v>
      </c>
      <c r="K210" s="69" t="n">
        <v>5795</v>
      </c>
      <c r="L210" s="69" t="n">
        <v>1912.35</v>
      </c>
      <c r="M210" s="1" t="n">
        <v>41284</v>
      </c>
      <c r="N210" t="n">
        <v>10</v>
      </c>
      <c r="O210" t="inlineStr">
        <is>
          <t xml:space="preserve"> October </t>
        </is>
      </c>
      <c r="P210" t="n">
        <v>2013</v>
      </c>
      <c r="Q210">
        <f>IF(Financials[[#This Row],[ Units_Sold ]]&lt;&gt;INT(Financials[[#This Row],[ Units_Sold ]]),1,0)</f>
        <v/>
      </c>
      <c r="R210" s="10">
        <f>Financials[[#This Row],[ Profit ]]/Financials[[#This Row],[  Sales ]]</f>
        <v/>
      </c>
      <c r="S210" s="2">
        <f>Financials[[#This Row],[ COGS ]]/Financials[[#This Row],[  Sales ]]</f>
        <v/>
      </c>
      <c r="T210" s="3">
        <f>Financials[[#This Row],[ Discounts ]]/Financials[[#This Row],[  Sales ]]</f>
        <v/>
      </c>
      <c r="U210">
        <f>Financials[[#This Row],[  Sales ]]/Financials[[#This Row],[ Units_Sold ]]</f>
        <v/>
      </c>
      <c r="V210">
        <f>Financials[[#This Row],[ Profit ]]/Financials[[#This Row],[ Units_Sold ]]</f>
        <v/>
      </c>
      <c r="W210">
        <f>IF(Financials[[#This Row],[ Profit ]]&lt;0,1,0)</f>
        <v/>
      </c>
    </row>
    <row r="211">
      <c r="A211" t="inlineStr">
        <is>
          <t>Government</t>
        </is>
      </c>
      <c r="B211" t="inlineStr">
        <is>
          <t>Germany</t>
        </is>
      </c>
      <c r="C211" t="inlineStr">
        <is>
          <t xml:space="preserve"> Paseo </t>
        </is>
      </c>
      <c r="D211" t="inlineStr">
        <is>
          <t xml:space="preserve"> Medium </t>
        </is>
      </c>
      <c r="E211" t="n">
        <v>1372</v>
      </c>
      <c r="F211" s="69" t="n">
        <v>10</v>
      </c>
      <c r="G211" s="69" t="n">
        <v>7</v>
      </c>
      <c r="H211" s="69" t="n">
        <v>9604</v>
      </c>
      <c r="I211" s="5" t="n">
        <v>480.2</v>
      </c>
      <c r="J211" s="69" t="n">
        <v>9123.799999999999</v>
      </c>
      <c r="K211" s="69" t="n">
        <v>6860</v>
      </c>
      <c r="L211" s="69" t="n">
        <v>2263.8</v>
      </c>
      <c r="M211" s="1" t="n">
        <v>41640</v>
      </c>
      <c r="N211" t="n">
        <v>1</v>
      </c>
      <c r="O211" t="inlineStr">
        <is>
          <t xml:space="preserve"> January </t>
        </is>
      </c>
      <c r="P211" t="n">
        <v>2014</v>
      </c>
      <c r="Q211">
        <f>IF(Financials[[#This Row],[ Units_Sold ]]&lt;&gt;INT(Financials[[#This Row],[ Units_Sold ]]),1,0)</f>
        <v/>
      </c>
      <c r="R211" s="10">
        <f>Financials[[#This Row],[ Profit ]]/Financials[[#This Row],[  Sales ]]</f>
        <v/>
      </c>
      <c r="S211" s="2">
        <f>Financials[[#This Row],[ COGS ]]/Financials[[#This Row],[  Sales ]]</f>
        <v/>
      </c>
      <c r="T211" s="3">
        <f>Financials[[#This Row],[ Discounts ]]/Financials[[#This Row],[  Sales ]]</f>
        <v/>
      </c>
      <c r="U211">
        <f>Financials[[#This Row],[  Sales ]]/Financials[[#This Row],[ Units_Sold ]]</f>
        <v/>
      </c>
      <c r="V211">
        <f>Financials[[#This Row],[ Profit ]]/Financials[[#This Row],[ Units_Sold ]]</f>
        <v/>
      </c>
      <c r="W211">
        <f>IF(Financials[[#This Row],[ Profit ]]&lt;0,1,0)</f>
        <v/>
      </c>
    </row>
    <row r="212">
      <c r="A212" t="inlineStr">
        <is>
          <t>Government</t>
        </is>
      </c>
      <c r="B212" t="inlineStr">
        <is>
          <t>Canada</t>
        </is>
      </c>
      <c r="C212" t="inlineStr">
        <is>
          <t xml:space="preserve"> Paseo </t>
        </is>
      </c>
      <c r="D212" t="inlineStr">
        <is>
          <t xml:space="preserve"> Medium </t>
        </is>
      </c>
      <c r="E212" t="n">
        <v>2349</v>
      </c>
      <c r="F212" s="69" t="n">
        <v>10</v>
      </c>
      <c r="G212" s="69" t="n">
        <v>7</v>
      </c>
      <c r="H212" s="69" t="n">
        <v>16443</v>
      </c>
      <c r="I212" s="5" t="n">
        <v>822.15</v>
      </c>
      <c r="J212" s="69" t="n">
        <v>15620.85</v>
      </c>
      <c r="K212" s="69" t="n">
        <v>11745</v>
      </c>
      <c r="L212" s="69" t="n">
        <v>3875.85</v>
      </c>
      <c r="M212" s="1" t="n">
        <v>41283</v>
      </c>
      <c r="N212" t="n">
        <v>9</v>
      </c>
      <c r="O212" t="inlineStr">
        <is>
          <t xml:space="preserve"> September </t>
        </is>
      </c>
      <c r="P212" t="n">
        <v>2013</v>
      </c>
      <c r="Q212">
        <f>IF(Financials[[#This Row],[ Units_Sold ]]&lt;&gt;INT(Financials[[#This Row],[ Units_Sold ]]),1,0)</f>
        <v/>
      </c>
      <c r="R212" s="10">
        <f>Financials[[#This Row],[ Profit ]]/Financials[[#This Row],[  Sales ]]</f>
        <v/>
      </c>
      <c r="S212" s="2">
        <f>Financials[[#This Row],[ COGS ]]/Financials[[#This Row],[  Sales ]]</f>
        <v/>
      </c>
      <c r="T212" s="3">
        <f>Financials[[#This Row],[ Discounts ]]/Financials[[#This Row],[  Sales ]]</f>
        <v/>
      </c>
      <c r="U212">
        <f>Financials[[#This Row],[  Sales ]]/Financials[[#This Row],[ Units_Sold ]]</f>
        <v/>
      </c>
      <c r="V212">
        <f>Financials[[#This Row],[ Profit ]]/Financials[[#This Row],[ Units_Sold ]]</f>
        <v/>
      </c>
      <c r="W212">
        <f>IF(Financials[[#This Row],[ Profit ]]&lt;0,1,0)</f>
        <v/>
      </c>
    </row>
    <row r="213">
      <c r="A213" t="inlineStr">
        <is>
          <t>Government</t>
        </is>
      </c>
      <c r="B213" t="inlineStr">
        <is>
          <t>Mexico</t>
        </is>
      </c>
      <c r="C213" t="inlineStr">
        <is>
          <t xml:space="preserve"> Paseo </t>
        </is>
      </c>
      <c r="D213" t="inlineStr">
        <is>
          <t xml:space="preserve"> Medium </t>
        </is>
      </c>
      <c r="E213" t="n">
        <v>2689</v>
      </c>
      <c r="F213" s="69" t="n">
        <v>10</v>
      </c>
      <c r="G213" s="69" t="n">
        <v>7</v>
      </c>
      <c r="H213" s="69" t="n">
        <v>18823</v>
      </c>
      <c r="I213" s="5" t="n">
        <v>941.15</v>
      </c>
      <c r="J213" s="69" t="n">
        <v>17881.85</v>
      </c>
      <c r="K213" s="69" t="n">
        <v>13445</v>
      </c>
      <c r="L213" s="69" t="n">
        <v>4436.85</v>
      </c>
      <c r="M213" s="1" t="n">
        <v>41649</v>
      </c>
      <c r="N213" t="n">
        <v>10</v>
      </c>
      <c r="O213" t="inlineStr">
        <is>
          <t xml:space="preserve"> October </t>
        </is>
      </c>
      <c r="P213" t="n">
        <v>2014</v>
      </c>
      <c r="Q213">
        <f>IF(Financials[[#This Row],[ Units_Sold ]]&lt;&gt;INT(Financials[[#This Row],[ Units_Sold ]]),1,0)</f>
        <v/>
      </c>
      <c r="R213" s="10">
        <f>Financials[[#This Row],[ Profit ]]/Financials[[#This Row],[  Sales ]]</f>
        <v/>
      </c>
      <c r="S213" s="2">
        <f>Financials[[#This Row],[ COGS ]]/Financials[[#This Row],[  Sales ]]</f>
        <v/>
      </c>
      <c r="T213" s="3">
        <f>Financials[[#This Row],[ Discounts ]]/Financials[[#This Row],[  Sales ]]</f>
        <v/>
      </c>
      <c r="U213">
        <f>Financials[[#This Row],[  Sales ]]/Financials[[#This Row],[ Units_Sold ]]</f>
        <v/>
      </c>
      <c r="V213">
        <f>Financials[[#This Row],[ Profit ]]/Financials[[#This Row],[ Units_Sold ]]</f>
        <v/>
      </c>
      <c r="W213">
        <f>IF(Financials[[#This Row],[ Profit ]]&lt;0,1,0)</f>
        <v/>
      </c>
    </row>
    <row r="214">
      <c r="A214" t="inlineStr">
        <is>
          <t>Channel Partners</t>
        </is>
      </c>
      <c r="B214" t="inlineStr">
        <is>
          <t>Canada</t>
        </is>
      </c>
      <c r="C214" t="inlineStr">
        <is>
          <t xml:space="preserve"> Paseo </t>
        </is>
      </c>
      <c r="D214" t="inlineStr">
        <is>
          <t xml:space="preserve"> Medium </t>
        </is>
      </c>
      <c r="E214" t="n">
        <v>2431</v>
      </c>
      <c r="F214" s="69" t="n">
        <v>10</v>
      </c>
      <c r="G214" s="69" t="n">
        <v>12</v>
      </c>
      <c r="H214" s="69" t="n">
        <v>29172</v>
      </c>
      <c r="I214" s="5" t="n">
        <v>1458.6</v>
      </c>
      <c r="J214" s="69" t="n">
        <v>27713.4</v>
      </c>
      <c r="K214" s="69" t="n">
        <v>7293</v>
      </c>
      <c r="L214" s="69" t="n">
        <v>20420.4</v>
      </c>
      <c r="M214" s="1" t="n">
        <v>41651</v>
      </c>
      <c r="N214" t="n">
        <v>12</v>
      </c>
      <c r="O214" t="inlineStr">
        <is>
          <t xml:space="preserve"> December </t>
        </is>
      </c>
      <c r="P214" t="n">
        <v>2014</v>
      </c>
      <c r="Q214">
        <f>IF(Financials[[#This Row],[ Units_Sold ]]&lt;&gt;INT(Financials[[#This Row],[ Units_Sold ]]),1,0)</f>
        <v/>
      </c>
      <c r="R214" s="10">
        <f>Financials[[#This Row],[ Profit ]]/Financials[[#This Row],[  Sales ]]</f>
        <v/>
      </c>
      <c r="S214" s="2">
        <f>Financials[[#This Row],[ COGS ]]/Financials[[#This Row],[  Sales ]]</f>
        <v/>
      </c>
      <c r="T214" s="3">
        <f>Financials[[#This Row],[ Discounts ]]/Financials[[#This Row],[  Sales ]]</f>
        <v/>
      </c>
      <c r="U214">
        <f>Financials[[#This Row],[  Sales ]]/Financials[[#This Row],[ Units_Sold ]]</f>
        <v/>
      </c>
      <c r="V214">
        <f>Financials[[#This Row],[ Profit ]]/Financials[[#This Row],[ Units_Sold ]]</f>
        <v/>
      </c>
      <c r="W214">
        <f>IF(Financials[[#This Row],[ Profit ]]&lt;0,1,0)</f>
        <v/>
      </c>
    </row>
    <row r="215">
      <c r="A215" t="inlineStr">
        <is>
          <t>Channel Partners</t>
        </is>
      </c>
      <c r="B215" t="inlineStr">
        <is>
          <t>Canada</t>
        </is>
      </c>
      <c r="C215" t="inlineStr">
        <is>
          <t xml:space="preserve"> Velo </t>
        </is>
      </c>
      <c r="D215" t="inlineStr">
        <is>
          <t xml:space="preserve"> Medium </t>
        </is>
      </c>
      <c r="E215" t="n">
        <v>2431</v>
      </c>
      <c r="F215" s="69" t="n">
        <v>120</v>
      </c>
      <c r="G215" s="69" t="n">
        <v>12</v>
      </c>
      <c r="H215" s="69" t="n">
        <v>29172</v>
      </c>
      <c r="I215" s="5" t="n">
        <v>1458.6</v>
      </c>
      <c r="J215" s="69" t="n">
        <v>27713.4</v>
      </c>
      <c r="K215" s="69" t="n">
        <v>7293</v>
      </c>
      <c r="L215" s="69" t="n">
        <v>20420.4</v>
      </c>
      <c r="M215" s="1" t="n">
        <v>41651</v>
      </c>
      <c r="N215" t="n">
        <v>12</v>
      </c>
      <c r="O215" t="inlineStr">
        <is>
          <t xml:space="preserve"> December </t>
        </is>
      </c>
      <c r="P215" t="n">
        <v>2014</v>
      </c>
      <c r="Q215">
        <f>IF(Financials[[#This Row],[ Units_Sold ]]&lt;&gt;INT(Financials[[#This Row],[ Units_Sold ]]),1,0)</f>
        <v/>
      </c>
      <c r="R215" s="10">
        <f>Financials[[#This Row],[ Profit ]]/Financials[[#This Row],[  Sales ]]</f>
        <v/>
      </c>
      <c r="S215" s="2">
        <f>Financials[[#This Row],[ COGS ]]/Financials[[#This Row],[  Sales ]]</f>
        <v/>
      </c>
      <c r="T215" s="3">
        <f>Financials[[#This Row],[ Discounts ]]/Financials[[#This Row],[  Sales ]]</f>
        <v/>
      </c>
      <c r="U215">
        <f>Financials[[#This Row],[  Sales ]]/Financials[[#This Row],[ Units_Sold ]]</f>
        <v/>
      </c>
      <c r="V215">
        <f>Financials[[#This Row],[ Profit ]]/Financials[[#This Row],[ Units_Sold ]]</f>
        <v/>
      </c>
      <c r="W215">
        <f>IF(Financials[[#This Row],[ Profit ]]&lt;0,1,0)</f>
        <v/>
      </c>
    </row>
    <row r="216">
      <c r="A216" t="inlineStr">
        <is>
          <t>Government</t>
        </is>
      </c>
      <c r="B216" t="inlineStr">
        <is>
          <t>Mexico</t>
        </is>
      </c>
      <c r="C216" t="inlineStr">
        <is>
          <t xml:space="preserve"> VTT </t>
        </is>
      </c>
      <c r="D216" t="inlineStr">
        <is>
          <t xml:space="preserve"> Medium </t>
        </is>
      </c>
      <c r="E216" t="n">
        <v>2689</v>
      </c>
      <c r="F216" s="69" t="n">
        <v>250</v>
      </c>
      <c r="G216" s="69" t="n">
        <v>7</v>
      </c>
      <c r="H216" s="69" t="n">
        <v>18823</v>
      </c>
      <c r="I216" s="5" t="n">
        <v>941.15</v>
      </c>
      <c r="J216" s="69" t="n">
        <v>17881.85</v>
      </c>
      <c r="K216" s="69" t="n">
        <v>13445</v>
      </c>
      <c r="L216" s="69" t="n">
        <v>4436.85</v>
      </c>
      <c r="M216" s="1" t="n">
        <v>41649</v>
      </c>
      <c r="N216" t="n">
        <v>10</v>
      </c>
      <c r="O216" t="inlineStr">
        <is>
          <t xml:space="preserve"> October </t>
        </is>
      </c>
      <c r="P216" t="n">
        <v>2014</v>
      </c>
      <c r="Q216">
        <f>IF(Financials[[#This Row],[ Units_Sold ]]&lt;&gt;INT(Financials[[#This Row],[ Units_Sold ]]),1,0)</f>
        <v/>
      </c>
      <c r="R216" s="10">
        <f>Financials[[#This Row],[ Profit ]]/Financials[[#This Row],[  Sales ]]</f>
        <v/>
      </c>
      <c r="S216" s="2">
        <f>Financials[[#This Row],[ COGS ]]/Financials[[#This Row],[  Sales ]]</f>
        <v/>
      </c>
      <c r="T216" s="3">
        <f>Financials[[#This Row],[ Discounts ]]/Financials[[#This Row],[  Sales ]]</f>
        <v/>
      </c>
      <c r="U216">
        <f>Financials[[#This Row],[  Sales ]]/Financials[[#This Row],[ Units_Sold ]]</f>
        <v/>
      </c>
      <c r="V216">
        <f>Financials[[#This Row],[ Profit ]]/Financials[[#This Row],[ Units_Sold ]]</f>
        <v/>
      </c>
      <c r="W216">
        <f>IF(Financials[[#This Row],[ Profit ]]&lt;0,1,0)</f>
        <v/>
      </c>
    </row>
    <row r="217">
      <c r="A217" t="inlineStr">
        <is>
          <t>Government</t>
        </is>
      </c>
      <c r="B217" t="inlineStr">
        <is>
          <t>Mexico</t>
        </is>
      </c>
      <c r="C217" t="inlineStr">
        <is>
          <t xml:space="preserve"> Amarilla </t>
        </is>
      </c>
      <c r="D217" t="inlineStr">
        <is>
          <t xml:space="preserve"> Medium </t>
        </is>
      </c>
      <c r="E217" t="n">
        <v>1683</v>
      </c>
      <c r="F217" s="69" t="n">
        <v>260</v>
      </c>
      <c r="G217" s="69" t="n">
        <v>7</v>
      </c>
      <c r="H217" s="69" t="n">
        <v>11781</v>
      </c>
      <c r="I217" s="5" t="n">
        <v>589.05</v>
      </c>
      <c r="J217" s="69" t="n">
        <v>11191.95</v>
      </c>
      <c r="K217" s="69" t="n">
        <v>8415</v>
      </c>
      <c r="L217" s="69" t="n">
        <v>2776.95</v>
      </c>
      <c r="M217" s="1" t="n">
        <v>41646</v>
      </c>
      <c r="N217" t="n">
        <v>7</v>
      </c>
      <c r="O217" t="inlineStr">
        <is>
          <t xml:space="preserve"> July </t>
        </is>
      </c>
      <c r="P217" t="n">
        <v>2014</v>
      </c>
      <c r="Q217">
        <f>IF(Financials[[#This Row],[ Units_Sold ]]&lt;&gt;INT(Financials[[#This Row],[ Units_Sold ]]),1,0)</f>
        <v/>
      </c>
      <c r="R217" s="10">
        <f>Financials[[#This Row],[ Profit ]]/Financials[[#This Row],[  Sales ]]</f>
        <v/>
      </c>
      <c r="S217" s="2">
        <f>Financials[[#This Row],[ COGS ]]/Financials[[#This Row],[  Sales ]]</f>
        <v/>
      </c>
      <c r="T217" s="3">
        <f>Financials[[#This Row],[ Discounts ]]/Financials[[#This Row],[  Sales ]]</f>
        <v/>
      </c>
      <c r="U217">
        <f>Financials[[#This Row],[  Sales ]]/Financials[[#This Row],[ Units_Sold ]]</f>
        <v/>
      </c>
      <c r="V217">
        <f>Financials[[#This Row],[ Profit ]]/Financials[[#This Row],[ Units_Sold ]]</f>
        <v/>
      </c>
      <c r="W217">
        <f>IF(Financials[[#This Row],[ Profit ]]&lt;0,1,0)</f>
        <v/>
      </c>
    </row>
    <row r="218">
      <c r="A218" t="inlineStr">
        <is>
          <t>Channel Partners</t>
        </is>
      </c>
      <c r="B218" t="inlineStr">
        <is>
          <t>Mexico</t>
        </is>
      </c>
      <c r="C218" t="inlineStr">
        <is>
          <t xml:space="preserve"> Amarilla </t>
        </is>
      </c>
      <c r="D218" t="inlineStr">
        <is>
          <t xml:space="preserve"> Medium </t>
        </is>
      </c>
      <c r="E218" t="n">
        <v>1123</v>
      </c>
      <c r="F218" s="69" t="n">
        <v>260</v>
      </c>
      <c r="G218" s="69" t="n">
        <v>12</v>
      </c>
      <c r="H218" s="69" t="n">
        <v>13476</v>
      </c>
      <c r="I218" s="5" t="n">
        <v>673.8</v>
      </c>
      <c r="J218" s="69" t="n">
        <v>12802.2</v>
      </c>
      <c r="K218" s="69" t="n">
        <v>3369</v>
      </c>
      <c r="L218" s="69" t="n">
        <v>9433.200000000001</v>
      </c>
      <c r="M218" s="1" t="n">
        <v>41647</v>
      </c>
      <c r="N218" t="n">
        <v>8</v>
      </c>
      <c r="O218" t="inlineStr">
        <is>
          <t xml:space="preserve"> August </t>
        </is>
      </c>
      <c r="P218" t="n">
        <v>2014</v>
      </c>
      <c r="Q218">
        <f>IF(Financials[[#This Row],[ Units_Sold ]]&lt;&gt;INT(Financials[[#This Row],[ Units_Sold ]]),1,0)</f>
        <v/>
      </c>
      <c r="R218" s="10">
        <f>Financials[[#This Row],[ Profit ]]/Financials[[#This Row],[  Sales ]]</f>
        <v/>
      </c>
      <c r="S218" s="2">
        <f>Financials[[#This Row],[ COGS ]]/Financials[[#This Row],[  Sales ]]</f>
        <v/>
      </c>
      <c r="T218" s="3">
        <f>Financials[[#This Row],[ Discounts ]]/Financials[[#This Row],[  Sales ]]</f>
        <v/>
      </c>
      <c r="U218">
        <f>Financials[[#This Row],[  Sales ]]/Financials[[#This Row],[ Units_Sold ]]</f>
        <v/>
      </c>
      <c r="V218">
        <f>Financials[[#This Row],[ Profit ]]/Financials[[#This Row],[ Units_Sold ]]</f>
        <v/>
      </c>
      <c r="W218">
        <f>IF(Financials[[#This Row],[ Profit ]]&lt;0,1,0)</f>
        <v/>
      </c>
    </row>
    <row r="219">
      <c r="A219" t="inlineStr">
        <is>
          <t>Government</t>
        </is>
      </c>
      <c r="B219" t="inlineStr">
        <is>
          <t>Germany</t>
        </is>
      </c>
      <c r="C219" t="inlineStr">
        <is>
          <t xml:space="preserve"> Amarilla </t>
        </is>
      </c>
      <c r="D219" t="inlineStr">
        <is>
          <t xml:space="preserve"> Medium </t>
        </is>
      </c>
      <c r="E219" t="n">
        <v>1159</v>
      </c>
      <c r="F219" s="69" t="n">
        <v>260</v>
      </c>
      <c r="G219" s="69" t="n">
        <v>7</v>
      </c>
      <c r="H219" s="69" t="n">
        <v>8113</v>
      </c>
      <c r="I219" s="5" t="n">
        <v>405.65</v>
      </c>
      <c r="J219" s="69" t="n">
        <v>7707.35</v>
      </c>
      <c r="K219" s="69" t="n">
        <v>5795</v>
      </c>
      <c r="L219" s="69" t="n">
        <v>1912.35</v>
      </c>
      <c r="M219" s="1" t="n">
        <v>41284</v>
      </c>
      <c r="N219" t="n">
        <v>10</v>
      </c>
      <c r="O219" t="inlineStr">
        <is>
          <t xml:space="preserve"> October </t>
        </is>
      </c>
      <c r="P219" t="n">
        <v>2013</v>
      </c>
      <c r="Q219">
        <f>IF(Financials[[#This Row],[ Units_Sold ]]&lt;&gt;INT(Financials[[#This Row],[ Units_Sold ]]),1,0)</f>
        <v/>
      </c>
      <c r="R219" s="10">
        <f>Financials[[#This Row],[ Profit ]]/Financials[[#This Row],[  Sales ]]</f>
        <v/>
      </c>
      <c r="S219" s="2">
        <f>Financials[[#This Row],[ COGS ]]/Financials[[#This Row],[  Sales ]]</f>
        <v/>
      </c>
      <c r="T219" s="3">
        <f>Financials[[#This Row],[ Discounts ]]/Financials[[#This Row],[  Sales ]]</f>
        <v/>
      </c>
      <c r="U219">
        <f>Financials[[#This Row],[  Sales ]]/Financials[[#This Row],[ Units_Sold ]]</f>
        <v/>
      </c>
      <c r="V219">
        <f>Financials[[#This Row],[ Profit ]]/Financials[[#This Row],[ Units_Sold ]]</f>
        <v/>
      </c>
      <c r="W219">
        <f>IF(Financials[[#This Row],[ Profit ]]&lt;0,1,0)</f>
        <v/>
      </c>
    </row>
    <row r="220">
      <c r="A220" t="inlineStr">
        <is>
          <t>Channel Partners</t>
        </is>
      </c>
      <c r="B220" t="inlineStr">
        <is>
          <t>France</t>
        </is>
      </c>
      <c r="C220" t="inlineStr">
        <is>
          <t xml:space="preserve"> Carretera </t>
        </is>
      </c>
      <c r="D220" t="inlineStr">
        <is>
          <t xml:space="preserve"> Medium </t>
        </is>
      </c>
      <c r="E220" t="n">
        <v>1865</v>
      </c>
      <c r="F220" s="69" t="n">
        <v>3</v>
      </c>
      <c r="G220" s="69" t="n">
        <v>12</v>
      </c>
      <c r="H220" s="69" t="n">
        <v>22380</v>
      </c>
      <c r="I220" s="5" t="n">
        <v>1119</v>
      </c>
      <c r="J220" s="69" t="n">
        <v>21261</v>
      </c>
      <c r="K220" s="69" t="n">
        <v>5595</v>
      </c>
      <c r="L220" s="69" t="n">
        <v>15666</v>
      </c>
      <c r="M220" s="1" t="n">
        <v>41641</v>
      </c>
      <c r="N220" t="n">
        <v>2</v>
      </c>
      <c r="O220" t="inlineStr">
        <is>
          <t xml:space="preserve"> February </t>
        </is>
      </c>
      <c r="P220" t="n">
        <v>2014</v>
      </c>
      <c r="Q220">
        <f>IF(Financials[[#This Row],[ Units_Sold ]]&lt;&gt;INT(Financials[[#This Row],[ Units_Sold ]]),1,0)</f>
        <v/>
      </c>
      <c r="R220" s="10">
        <f>Financials[[#This Row],[ Profit ]]/Financials[[#This Row],[  Sales ]]</f>
        <v/>
      </c>
      <c r="S220" s="2">
        <f>Financials[[#This Row],[ COGS ]]/Financials[[#This Row],[  Sales ]]</f>
        <v/>
      </c>
      <c r="T220" s="3">
        <f>Financials[[#This Row],[ Discounts ]]/Financials[[#This Row],[  Sales ]]</f>
        <v/>
      </c>
      <c r="U220">
        <f>Financials[[#This Row],[  Sales ]]/Financials[[#This Row],[ Units_Sold ]]</f>
        <v/>
      </c>
      <c r="V220">
        <f>Financials[[#This Row],[ Profit ]]/Financials[[#This Row],[ Units_Sold ]]</f>
        <v/>
      </c>
      <c r="W220">
        <f>IF(Financials[[#This Row],[ Profit ]]&lt;0,1,0)</f>
        <v/>
      </c>
    </row>
    <row r="221">
      <c r="A221" t="inlineStr">
        <is>
          <t>Channel Partners</t>
        </is>
      </c>
      <c r="B221" t="inlineStr">
        <is>
          <t>Germany</t>
        </is>
      </c>
      <c r="C221" t="inlineStr">
        <is>
          <t xml:space="preserve"> Carretera </t>
        </is>
      </c>
      <c r="D221" t="inlineStr">
        <is>
          <t xml:space="preserve"> Medium </t>
        </is>
      </c>
      <c r="E221" t="n">
        <v>1116</v>
      </c>
      <c r="F221" s="69" t="n">
        <v>3</v>
      </c>
      <c r="G221" s="69" t="n">
        <v>12</v>
      </c>
      <c r="H221" s="69" t="n">
        <v>13392</v>
      </c>
      <c r="I221" s="5" t="n">
        <v>669.6</v>
      </c>
      <c r="J221" s="69" t="n">
        <v>12722.4</v>
      </c>
      <c r="K221" s="69" t="n">
        <v>3348</v>
      </c>
      <c r="L221" s="69" t="n">
        <v>9374.4</v>
      </c>
      <c r="M221" s="1" t="n">
        <v>41641</v>
      </c>
      <c r="N221" t="n">
        <v>2</v>
      </c>
      <c r="O221" t="inlineStr">
        <is>
          <t xml:space="preserve"> February </t>
        </is>
      </c>
      <c r="P221" t="n">
        <v>2014</v>
      </c>
      <c r="Q221">
        <f>IF(Financials[[#This Row],[ Units_Sold ]]&lt;&gt;INT(Financials[[#This Row],[ Units_Sold ]]),1,0)</f>
        <v/>
      </c>
      <c r="R221" s="10">
        <f>Financials[[#This Row],[ Profit ]]/Financials[[#This Row],[  Sales ]]</f>
        <v/>
      </c>
      <c r="S221" s="2">
        <f>Financials[[#This Row],[ COGS ]]/Financials[[#This Row],[  Sales ]]</f>
        <v/>
      </c>
      <c r="T221" s="3">
        <f>Financials[[#This Row],[ Discounts ]]/Financials[[#This Row],[  Sales ]]</f>
        <v/>
      </c>
      <c r="U221">
        <f>Financials[[#This Row],[  Sales ]]/Financials[[#This Row],[ Units_Sold ]]</f>
        <v/>
      </c>
      <c r="V221">
        <f>Financials[[#This Row],[ Profit ]]/Financials[[#This Row],[ Units_Sold ]]</f>
        <v/>
      </c>
      <c r="W221">
        <f>IF(Financials[[#This Row],[ Profit ]]&lt;0,1,0)</f>
        <v/>
      </c>
    </row>
    <row r="222">
      <c r="A222" t="inlineStr">
        <is>
          <t>Government</t>
        </is>
      </c>
      <c r="B222" t="inlineStr">
        <is>
          <t>France</t>
        </is>
      </c>
      <c r="C222" t="inlineStr">
        <is>
          <t xml:space="preserve"> Carretera </t>
        </is>
      </c>
      <c r="D222" t="inlineStr">
        <is>
          <t xml:space="preserve"> Medium </t>
        </is>
      </c>
      <c r="E222" t="n">
        <v>1563</v>
      </c>
      <c r="F222" s="69" t="n">
        <v>3</v>
      </c>
      <c r="G222" s="69" t="n">
        <v>20</v>
      </c>
      <c r="H222" s="69" t="n">
        <v>31260</v>
      </c>
      <c r="I222" s="5" t="n">
        <v>1563</v>
      </c>
      <c r="J222" s="69" t="n">
        <v>29697</v>
      </c>
      <c r="K222" s="69" t="n">
        <v>15630</v>
      </c>
      <c r="L222" s="69" t="n">
        <v>14067</v>
      </c>
      <c r="M222" s="1" t="n">
        <v>41644</v>
      </c>
      <c r="N222" t="n">
        <v>5</v>
      </c>
      <c r="O222" t="inlineStr">
        <is>
          <t xml:space="preserve"> May </t>
        </is>
      </c>
      <c r="P222" t="n">
        <v>2014</v>
      </c>
      <c r="Q222">
        <f>IF(Financials[[#This Row],[ Units_Sold ]]&lt;&gt;INT(Financials[[#This Row],[ Units_Sold ]]),1,0)</f>
        <v/>
      </c>
      <c r="R222" s="10">
        <f>Financials[[#This Row],[ Profit ]]/Financials[[#This Row],[  Sales ]]</f>
        <v/>
      </c>
      <c r="S222" s="2">
        <f>Financials[[#This Row],[ COGS ]]/Financials[[#This Row],[  Sales ]]</f>
        <v/>
      </c>
      <c r="T222" s="3">
        <f>Financials[[#This Row],[ Discounts ]]/Financials[[#This Row],[  Sales ]]</f>
        <v/>
      </c>
      <c r="U222">
        <f>Financials[[#This Row],[  Sales ]]/Financials[[#This Row],[ Units_Sold ]]</f>
        <v/>
      </c>
      <c r="V222">
        <f>Financials[[#This Row],[ Profit ]]/Financials[[#This Row],[ Units_Sold ]]</f>
        <v/>
      </c>
      <c r="W222">
        <f>IF(Financials[[#This Row],[ Profit ]]&lt;0,1,0)</f>
        <v/>
      </c>
    </row>
    <row r="223">
      <c r="A223" t="inlineStr">
        <is>
          <t>Small Business</t>
        </is>
      </c>
      <c r="B223" t="inlineStr">
        <is>
          <t>United States of America</t>
        </is>
      </c>
      <c r="C223" t="inlineStr">
        <is>
          <t xml:space="preserve"> Carretera </t>
        </is>
      </c>
      <c r="D223" t="inlineStr">
        <is>
          <t xml:space="preserve"> Medium </t>
        </is>
      </c>
      <c r="E223" t="n">
        <v>991</v>
      </c>
      <c r="F223" s="69" t="n">
        <v>3</v>
      </c>
      <c r="G223" s="69" t="n">
        <v>300</v>
      </c>
      <c r="H223" s="69" t="n">
        <v>297300</v>
      </c>
      <c r="I223" s="5" t="n">
        <v>14865</v>
      </c>
      <c r="J223" s="69" t="n">
        <v>282435</v>
      </c>
      <c r="K223" s="69" t="n">
        <v>247750</v>
      </c>
      <c r="L223" s="69" t="n">
        <v>34685</v>
      </c>
      <c r="M223" s="1" t="n">
        <v>41645</v>
      </c>
      <c r="N223" t="n">
        <v>6</v>
      </c>
      <c r="O223" t="inlineStr">
        <is>
          <t xml:space="preserve"> June </t>
        </is>
      </c>
      <c r="P223" t="n">
        <v>2014</v>
      </c>
      <c r="Q223">
        <f>IF(Financials[[#This Row],[ Units_Sold ]]&lt;&gt;INT(Financials[[#This Row],[ Units_Sold ]]),1,0)</f>
        <v/>
      </c>
      <c r="R223" s="10">
        <f>Financials[[#This Row],[ Profit ]]/Financials[[#This Row],[  Sales ]]</f>
        <v/>
      </c>
      <c r="S223" s="2">
        <f>Financials[[#This Row],[ COGS ]]/Financials[[#This Row],[  Sales ]]</f>
        <v/>
      </c>
      <c r="T223" s="3">
        <f>Financials[[#This Row],[ Discounts ]]/Financials[[#This Row],[  Sales ]]</f>
        <v/>
      </c>
      <c r="U223">
        <f>Financials[[#This Row],[  Sales ]]/Financials[[#This Row],[ Units_Sold ]]</f>
        <v/>
      </c>
      <c r="V223">
        <f>Financials[[#This Row],[ Profit ]]/Financials[[#This Row],[ Units_Sold ]]</f>
        <v/>
      </c>
      <c r="W223">
        <f>IF(Financials[[#This Row],[ Profit ]]&lt;0,1,0)</f>
        <v/>
      </c>
    </row>
    <row r="224">
      <c r="A224" t="inlineStr">
        <is>
          <t>Government</t>
        </is>
      </c>
      <c r="B224" t="inlineStr">
        <is>
          <t>Germany</t>
        </is>
      </c>
      <c r="C224" t="inlineStr">
        <is>
          <t xml:space="preserve"> Carretera </t>
        </is>
      </c>
      <c r="D224" t="inlineStr">
        <is>
          <t xml:space="preserve"> Medium </t>
        </is>
      </c>
      <c r="E224" t="n">
        <v>1016</v>
      </c>
      <c r="F224" s="69" t="n">
        <v>3</v>
      </c>
      <c r="G224" s="69" t="n">
        <v>7</v>
      </c>
      <c r="H224" s="69" t="n">
        <v>7112</v>
      </c>
      <c r="I224" s="5" t="n">
        <v>355.6</v>
      </c>
      <c r="J224" s="69" t="n">
        <v>6756.4</v>
      </c>
      <c r="K224" s="69" t="n">
        <v>5080</v>
      </c>
      <c r="L224" s="69" t="n">
        <v>1676.4</v>
      </c>
      <c r="M224" s="1" t="n">
        <v>41285</v>
      </c>
      <c r="N224" t="n">
        <v>11</v>
      </c>
      <c r="O224" t="inlineStr">
        <is>
          <t xml:space="preserve"> November </t>
        </is>
      </c>
      <c r="P224" t="n">
        <v>2013</v>
      </c>
      <c r="Q224">
        <f>IF(Financials[[#This Row],[ Units_Sold ]]&lt;&gt;INT(Financials[[#This Row],[ Units_Sold ]]),1,0)</f>
        <v/>
      </c>
      <c r="R224" s="10">
        <f>Financials[[#This Row],[ Profit ]]/Financials[[#This Row],[  Sales ]]</f>
        <v/>
      </c>
      <c r="S224" s="2">
        <f>Financials[[#This Row],[ COGS ]]/Financials[[#This Row],[  Sales ]]</f>
        <v/>
      </c>
      <c r="T224" s="3">
        <f>Financials[[#This Row],[ Discounts ]]/Financials[[#This Row],[  Sales ]]</f>
        <v/>
      </c>
      <c r="U224">
        <f>Financials[[#This Row],[  Sales ]]/Financials[[#This Row],[ Units_Sold ]]</f>
        <v/>
      </c>
      <c r="V224">
        <f>Financials[[#This Row],[ Profit ]]/Financials[[#This Row],[ Units_Sold ]]</f>
        <v/>
      </c>
      <c r="W224">
        <f>IF(Financials[[#This Row],[ Profit ]]&lt;0,1,0)</f>
        <v/>
      </c>
    </row>
    <row r="225">
      <c r="A225" t="inlineStr">
        <is>
          <t>Midmarket</t>
        </is>
      </c>
      <c r="B225" t="inlineStr">
        <is>
          <t>Mexico</t>
        </is>
      </c>
      <c r="C225" t="inlineStr">
        <is>
          <t xml:space="preserve"> Carretera </t>
        </is>
      </c>
      <c r="D225" t="inlineStr">
        <is>
          <t xml:space="preserve"> Medium </t>
        </is>
      </c>
      <c r="E225" t="n">
        <v>2791</v>
      </c>
      <c r="F225" s="69" t="n">
        <v>3</v>
      </c>
      <c r="G225" s="69" t="n">
        <v>15</v>
      </c>
      <c r="H225" s="69" t="n">
        <v>41865</v>
      </c>
      <c r="I225" s="5" t="n">
        <v>2093.25</v>
      </c>
      <c r="J225" s="69" t="n">
        <v>39771.75</v>
      </c>
      <c r="K225" s="69" t="n">
        <v>27910</v>
      </c>
      <c r="L225" s="69" t="n">
        <v>11861.75</v>
      </c>
      <c r="M225" s="1" t="n">
        <v>41650</v>
      </c>
      <c r="N225" t="n">
        <v>11</v>
      </c>
      <c r="O225" t="inlineStr">
        <is>
          <t xml:space="preserve"> November </t>
        </is>
      </c>
      <c r="P225" t="n">
        <v>2014</v>
      </c>
      <c r="Q225">
        <f>IF(Financials[[#This Row],[ Units_Sold ]]&lt;&gt;INT(Financials[[#This Row],[ Units_Sold ]]),1,0)</f>
        <v/>
      </c>
      <c r="R225" s="10">
        <f>Financials[[#This Row],[ Profit ]]/Financials[[#This Row],[  Sales ]]</f>
        <v/>
      </c>
      <c r="S225" s="2">
        <f>Financials[[#This Row],[ COGS ]]/Financials[[#This Row],[  Sales ]]</f>
        <v/>
      </c>
      <c r="T225" s="3">
        <f>Financials[[#This Row],[ Discounts ]]/Financials[[#This Row],[  Sales ]]</f>
        <v/>
      </c>
      <c r="U225">
        <f>Financials[[#This Row],[  Sales ]]/Financials[[#This Row],[ Units_Sold ]]</f>
        <v/>
      </c>
      <c r="V225">
        <f>Financials[[#This Row],[ Profit ]]/Financials[[#This Row],[ Units_Sold ]]</f>
        <v/>
      </c>
      <c r="W225">
        <f>IF(Financials[[#This Row],[ Profit ]]&lt;0,1,0)</f>
        <v/>
      </c>
    </row>
    <row r="226">
      <c r="A226" t="inlineStr">
        <is>
          <t>Government</t>
        </is>
      </c>
      <c r="B226" t="inlineStr">
        <is>
          <t>United States of America</t>
        </is>
      </c>
      <c r="C226" t="inlineStr">
        <is>
          <t xml:space="preserve"> Carretera </t>
        </is>
      </c>
      <c r="D226" t="inlineStr">
        <is>
          <t xml:space="preserve"> Medium </t>
        </is>
      </c>
      <c r="E226" t="n">
        <v>570</v>
      </c>
      <c r="F226" s="69" t="n">
        <v>3</v>
      </c>
      <c r="G226" s="69" t="n">
        <v>7</v>
      </c>
      <c r="H226" s="69" t="n">
        <v>3990</v>
      </c>
      <c r="I226" s="5" t="n">
        <v>199.5</v>
      </c>
      <c r="J226" s="69" t="n">
        <v>3790.5</v>
      </c>
      <c r="K226" s="69" t="n">
        <v>2850</v>
      </c>
      <c r="L226" s="69" t="n">
        <v>940.5</v>
      </c>
      <c r="M226" s="1" t="n">
        <v>41651</v>
      </c>
      <c r="N226" t="n">
        <v>12</v>
      </c>
      <c r="O226" t="inlineStr">
        <is>
          <t xml:space="preserve"> December </t>
        </is>
      </c>
      <c r="P226" t="n">
        <v>2014</v>
      </c>
      <c r="Q226">
        <f>IF(Financials[[#This Row],[ Units_Sold ]]&lt;&gt;INT(Financials[[#This Row],[ Units_Sold ]]),1,0)</f>
        <v/>
      </c>
      <c r="R226" s="10">
        <f>Financials[[#This Row],[ Profit ]]/Financials[[#This Row],[  Sales ]]</f>
        <v/>
      </c>
      <c r="S226" s="2">
        <f>Financials[[#This Row],[ COGS ]]/Financials[[#This Row],[  Sales ]]</f>
        <v/>
      </c>
      <c r="T226" s="3">
        <f>Financials[[#This Row],[ Discounts ]]/Financials[[#This Row],[  Sales ]]</f>
        <v/>
      </c>
      <c r="U226">
        <f>Financials[[#This Row],[  Sales ]]/Financials[[#This Row],[ Units_Sold ]]</f>
        <v/>
      </c>
      <c r="V226">
        <f>Financials[[#This Row],[ Profit ]]/Financials[[#This Row],[ Units_Sold ]]</f>
        <v/>
      </c>
      <c r="W226">
        <f>IF(Financials[[#This Row],[ Profit ]]&lt;0,1,0)</f>
        <v/>
      </c>
    </row>
    <row r="227">
      <c r="A227" t="inlineStr">
        <is>
          <t>Government</t>
        </is>
      </c>
      <c r="B227" t="inlineStr">
        <is>
          <t>France</t>
        </is>
      </c>
      <c r="C227" t="inlineStr">
        <is>
          <t xml:space="preserve"> Carretera </t>
        </is>
      </c>
      <c r="D227" t="inlineStr">
        <is>
          <t xml:space="preserve"> Medium </t>
        </is>
      </c>
      <c r="E227" t="n">
        <v>2487</v>
      </c>
      <c r="F227" s="69" t="n">
        <v>3</v>
      </c>
      <c r="G227" s="69" t="n">
        <v>7</v>
      </c>
      <c r="H227" s="69" t="n">
        <v>17409</v>
      </c>
      <c r="I227" s="5" t="n">
        <v>870.45</v>
      </c>
      <c r="J227" s="69" t="n">
        <v>16538.55</v>
      </c>
      <c r="K227" s="69" t="n">
        <v>12435</v>
      </c>
      <c r="L227" s="69" t="n">
        <v>4103.55</v>
      </c>
      <c r="M227" s="1" t="n">
        <v>41651</v>
      </c>
      <c r="N227" t="n">
        <v>12</v>
      </c>
      <c r="O227" t="inlineStr">
        <is>
          <t xml:space="preserve"> December </t>
        </is>
      </c>
      <c r="P227" t="n">
        <v>2014</v>
      </c>
      <c r="Q227">
        <f>IF(Financials[[#This Row],[ Units_Sold ]]&lt;&gt;INT(Financials[[#This Row],[ Units_Sold ]]),1,0)</f>
        <v/>
      </c>
      <c r="R227" s="10">
        <f>Financials[[#This Row],[ Profit ]]/Financials[[#This Row],[  Sales ]]</f>
        <v/>
      </c>
      <c r="S227" s="2">
        <f>Financials[[#This Row],[ COGS ]]/Financials[[#This Row],[  Sales ]]</f>
        <v/>
      </c>
      <c r="T227" s="3">
        <f>Financials[[#This Row],[ Discounts ]]/Financials[[#This Row],[  Sales ]]</f>
        <v/>
      </c>
      <c r="U227">
        <f>Financials[[#This Row],[  Sales ]]/Financials[[#This Row],[ Units_Sold ]]</f>
        <v/>
      </c>
      <c r="V227">
        <f>Financials[[#This Row],[ Profit ]]/Financials[[#This Row],[ Units_Sold ]]</f>
        <v/>
      </c>
      <c r="W227">
        <f>IF(Financials[[#This Row],[ Profit ]]&lt;0,1,0)</f>
        <v/>
      </c>
    </row>
    <row r="228">
      <c r="A228" t="inlineStr">
        <is>
          <t>Government</t>
        </is>
      </c>
      <c r="B228" t="inlineStr">
        <is>
          <t>France</t>
        </is>
      </c>
      <c r="C228" t="inlineStr">
        <is>
          <t xml:space="preserve"> Montana </t>
        </is>
      </c>
      <c r="D228" t="inlineStr">
        <is>
          <t xml:space="preserve"> Medium </t>
        </is>
      </c>
      <c r="E228" t="n">
        <v>1384.5</v>
      </c>
      <c r="F228" s="69" t="n">
        <v>5</v>
      </c>
      <c r="G228" s="69" t="n">
        <v>350</v>
      </c>
      <c r="H228" s="69" t="n">
        <v>484575</v>
      </c>
      <c r="I228" s="5" t="n">
        <v>24228.75</v>
      </c>
      <c r="J228" s="69" t="n">
        <v>460346.25</v>
      </c>
      <c r="K228" s="69" t="n">
        <v>359970</v>
      </c>
      <c r="L228" s="69" t="n">
        <v>100376.25</v>
      </c>
      <c r="M228" s="1" t="n">
        <v>41640</v>
      </c>
      <c r="N228" t="n">
        <v>1</v>
      </c>
      <c r="O228" t="inlineStr">
        <is>
          <t xml:space="preserve"> January </t>
        </is>
      </c>
      <c r="P228" t="n">
        <v>2014</v>
      </c>
      <c r="Q228">
        <f>IF(Financials[[#This Row],[ Units_Sold ]]&lt;&gt;INT(Financials[[#This Row],[ Units_Sold ]]),1,0)</f>
        <v/>
      </c>
      <c r="R228" s="10">
        <f>Financials[[#This Row],[ Profit ]]/Financials[[#This Row],[  Sales ]]</f>
        <v/>
      </c>
      <c r="S228" s="2">
        <f>Financials[[#This Row],[ COGS ]]/Financials[[#This Row],[  Sales ]]</f>
        <v/>
      </c>
      <c r="T228" s="3">
        <f>Financials[[#This Row],[ Discounts ]]/Financials[[#This Row],[  Sales ]]</f>
        <v/>
      </c>
      <c r="U228">
        <f>Financials[[#This Row],[  Sales ]]/Financials[[#This Row],[ Units_Sold ]]</f>
        <v/>
      </c>
      <c r="V228">
        <f>Financials[[#This Row],[ Profit ]]/Financials[[#This Row],[ Units_Sold ]]</f>
        <v/>
      </c>
      <c r="W228">
        <f>IF(Financials[[#This Row],[ Profit ]]&lt;0,1,0)</f>
        <v/>
      </c>
    </row>
    <row r="229">
      <c r="A229" t="inlineStr">
        <is>
          <t>Enterprise</t>
        </is>
      </c>
      <c r="B229" t="inlineStr">
        <is>
          <t>United States of America</t>
        </is>
      </c>
      <c r="C229" t="inlineStr">
        <is>
          <t xml:space="preserve"> Montana </t>
        </is>
      </c>
      <c r="D229" t="inlineStr">
        <is>
          <t xml:space="preserve"> Medium </t>
        </is>
      </c>
      <c r="E229" t="n">
        <v>3627</v>
      </c>
      <c r="F229" s="69" t="n">
        <v>5</v>
      </c>
      <c r="G229" s="69" t="n">
        <v>125</v>
      </c>
      <c r="H229" s="69" t="n">
        <v>453375</v>
      </c>
      <c r="I229" s="5" t="n">
        <v>22668.75</v>
      </c>
      <c r="J229" s="69" t="n">
        <v>430706.25</v>
      </c>
      <c r="K229" s="69" t="n">
        <v>435240</v>
      </c>
      <c r="L229" s="69" t="n">
        <v>-4533.75</v>
      </c>
      <c r="M229" s="1" t="n">
        <v>41646</v>
      </c>
      <c r="N229" t="n">
        <v>7</v>
      </c>
      <c r="O229" t="inlineStr">
        <is>
          <t xml:space="preserve"> July </t>
        </is>
      </c>
      <c r="P229" t="n">
        <v>2014</v>
      </c>
      <c r="Q229">
        <f>IF(Financials[[#This Row],[ Units_Sold ]]&lt;&gt;INT(Financials[[#This Row],[ Units_Sold ]]),1,0)</f>
        <v/>
      </c>
      <c r="R229" s="10">
        <f>Financials[[#This Row],[ Profit ]]/Financials[[#This Row],[  Sales ]]</f>
        <v/>
      </c>
      <c r="S229" s="2">
        <f>Financials[[#This Row],[ COGS ]]/Financials[[#This Row],[  Sales ]]</f>
        <v/>
      </c>
      <c r="T229" s="3">
        <f>Financials[[#This Row],[ Discounts ]]/Financials[[#This Row],[  Sales ]]</f>
        <v/>
      </c>
      <c r="U229">
        <f>Financials[[#This Row],[  Sales ]]/Financials[[#This Row],[ Units_Sold ]]</f>
        <v/>
      </c>
      <c r="V229">
        <f>Financials[[#This Row],[ Profit ]]/Financials[[#This Row],[ Units_Sold ]]</f>
        <v/>
      </c>
      <c r="W229">
        <f>IF(Financials[[#This Row],[ Profit ]]&lt;0,1,0)</f>
        <v/>
      </c>
    </row>
    <row r="230">
      <c r="A230" t="inlineStr">
        <is>
          <t>Government</t>
        </is>
      </c>
      <c r="B230" t="inlineStr">
        <is>
          <t>Mexico</t>
        </is>
      </c>
      <c r="C230" t="inlineStr">
        <is>
          <t xml:space="preserve"> Montana </t>
        </is>
      </c>
      <c r="D230" t="inlineStr">
        <is>
          <t xml:space="preserve"> Medium </t>
        </is>
      </c>
      <c r="E230" t="n">
        <v>720</v>
      </c>
      <c r="F230" s="69" t="n">
        <v>5</v>
      </c>
      <c r="G230" s="69" t="n">
        <v>350</v>
      </c>
      <c r="H230" s="69" t="n">
        <v>252000</v>
      </c>
      <c r="I230" s="5" t="n">
        <v>12600</v>
      </c>
      <c r="J230" s="69" t="n">
        <v>239400</v>
      </c>
      <c r="K230" s="69" t="n">
        <v>187200</v>
      </c>
      <c r="L230" s="69" t="n">
        <v>52200</v>
      </c>
      <c r="M230" s="1" t="n">
        <v>41283</v>
      </c>
      <c r="N230" t="n">
        <v>9</v>
      </c>
      <c r="O230" t="inlineStr">
        <is>
          <t xml:space="preserve"> September </t>
        </is>
      </c>
      <c r="P230" t="n">
        <v>2013</v>
      </c>
      <c r="Q230">
        <f>IF(Financials[[#This Row],[ Units_Sold ]]&lt;&gt;INT(Financials[[#This Row],[ Units_Sold ]]),1,0)</f>
        <v/>
      </c>
      <c r="R230" s="10">
        <f>Financials[[#This Row],[ Profit ]]/Financials[[#This Row],[  Sales ]]</f>
        <v/>
      </c>
      <c r="S230" s="2">
        <f>Financials[[#This Row],[ COGS ]]/Financials[[#This Row],[  Sales ]]</f>
        <v/>
      </c>
      <c r="T230" s="3">
        <f>Financials[[#This Row],[ Discounts ]]/Financials[[#This Row],[  Sales ]]</f>
        <v/>
      </c>
      <c r="U230">
        <f>Financials[[#This Row],[  Sales ]]/Financials[[#This Row],[ Units_Sold ]]</f>
        <v/>
      </c>
      <c r="V230">
        <f>Financials[[#This Row],[ Profit ]]/Financials[[#This Row],[ Units_Sold ]]</f>
        <v/>
      </c>
      <c r="W230">
        <f>IF(Financials[[#This Row],[ Profit ]]&lt;0,1,0)</f>
        <v/>
      </c>
    </row>
    <row r="231">
      <c r="A231" t="inlineStr">
        <is>
          <t>Channel Partners</t>
        </is>
      </c>
      <c r="B231" t="inlineStr">
        <is>
          <t>Germany</t>
        </is>
      </c>
      <c r="C231" t="inlineStr">
        <is>
          <t xml:space="preserve"> Montana </t>
        </is>
      </c>
      <c r="D231" t="inlineStr">
        <is>
          <t xml:space="preserve"> Medium </t>
        </is>
      </c>
      <c r="E231" t="n">
        <v>2342</v>
      </c>
      <c r="F231" s="69" t="n">
        <v>5</v>
      </c>
      <c r="G231" s="69" t="n">
        <v>12</v>
      </c>
      <c r="H231" s="69" t="n">
        <v>28104</v>
      </c>
      <c r="I231" s="5" t="n">
        <v>1405.2</v>
      </c>
      <c r="J231" s="69" t="n">
        <v>26698.8</v>
      </c>
      <c r="K231" s="69" t="n">
        <v>7026</v>
      </c>
      <c r="L231" s="69" t="n">
        <v>19672.8</v>
      </c>
      <c r="M231" s="1" t="n">
        <v>41650</v>
      </c>
      <c r="N231" t="n">
        <v>11</v>
      </c>
      <c r="O231" t="inlineStr">
        <is>
          <t xml:space="preserve"> November </t>
        </is>
      </c>
      <c r="P231" t="n">
        <v>2014</v>
      </c>
      <c r="Q231">
        <f>IF(Financials[[#This Row],[ Units_Sold ]]&lt;&gt;INT(Financials[[#This Row],[ Units_Sold ]]),1,0)</f>
        <v/>
      </c>
      <c r="R231" s="10">
        <f>Financials[[#This Row],[ Profit ]]/Financials[[#This Row],[  Sales ]]</f>
        <v/>
      </c>
      <c r="S231" s="2">
        <f>Financials[[#This Row],[ COGS ]]/Financials[[#This Row],[  Sales ]]</f>
        <v/>
      </c>
      <c r="T231" s="3">
        <f>Financials[[#This Row],[ Discounts ]]/Financials[[#This Row],[  Sales ]]</f>
        <v/>
      </c>
      <c r="U231">
        <f>Financials[[#This Row],[  Sales ]]/Financials[[#This Row],[ Units_Sold ]]</f>
        <v/>
      </c>
      <c r="V231">
        <f>Financials[[#This Row],[ Profit ]]/Financials[[#This Row],[ Units_Sold ]]</f>
        <v/>
      </c>
      <c r="W231">
        <f>IF(Financials[[#This Row],[ Profit ]]&lt;0,1,0)</f>
        <v/>
      </c>
    </row>
    <row r="232">
      <c r="A232" t="inlineStr">
        <is>
          <t>Small Business</t>
        </is>
      </c>
      <c r="B232" t="inlineStr">
        <is>
          <t>Mexico</t>
        </is>
      </c>
      <c r="C232" t="inlineStr">
        <is>
          <t xml:space="preserve"> Montana </t>
        </is>
      </c>
      <c r="D232" t="inlineStr">
        <is>
          <t xml:space="preserve"> Medium </t>
        </is>
      </c>
      <c r="E232" t="n">
        <v>1100</v>
      </c>
      <c r="F232" s="69" t="n">
        <v>5</v>
      </c>
      <c r="G232" s="69" t="n">
        <v>300</v>
      </c>
      <c r="H232" s="69" t="n">
        <v>330000</v>
      </c>
      <c r="I232" s="5" t="n">
        <v>16500</v>
      </c>
      <c r="J232" s="69" t="n">
        <v>313500</v>
      </c>
      <c r="K232" s="69" t="n">
        <v>275000</v>
      </c>
      <c r="L232" s="69" t="n">
        <v>38500</v>
      </c>
      <c r="M232" s="1" t="n">
        <v>41286</v>
      </c>
      <c r="N232" t="n">
        <v>12</v>
      </c>
      <c r="O232" t="inlineStr">
        <is>
          <t xml:space="preserve"> December </t>
        </is>
      </c>
      <c r="P232" t="n">
        <v>2013</v>
      </c>
      <c r="Q232">
        <f>IF(Financials[[#This Row],[ Units_Sold ]]&lt;&gt;INT(Financials[[#This Row],[ Units_Sold ]]),1,0)</f>
        <v/>
      </c>
      <c r="R232" s="10">
        <f>Financials[[#This Row],[ Profit ]]/Financials[[#This Row],[  Sales ]]</f>
        <v/>
      </c>
      <c r="S232" s="2">
        <f>Financials[[#This Row],[ COGS ]]/Financials[[#This Row],[  Sales ]]</f>
        <v/>
      </c>
      <c r="T232" s="3">
        <f>Financials[[#This Row],[ Discounts ]]/Financials[[#This Row],[  Sales ]]</f>
        <v/>
      </c>
      <c r="U232">
        <f>Financials[[#This Row],[  Sales ]]/Financials[[#This Row],[ Units_Sold ]]</f>
        <v/>
      </c>
      <c r="V232">
        <f>Financials[[#This Row],[ Profit ]]/Financials[[#This Row],[ Units_Sold ]]</f>
        <v/>
      </c>
      <c r="W232">
        <f>IF(Financials[[#This Row],[ Profit ]]&lt;0,1,0)</f>
        <v/>
      </c>
    </row>
    <row r="233">
      <c r="A233" t="inlineStr">
        <is>
          <t>Government</t>
        </is>
      </c>
      <c r="B233" t="inlineStr">
        <is>
          <t>France</t>
        </is>
      </c>
      <c r="C233" t="inlineStr">
        <is>
          <t xml:space="preserve"> Paseo </t>
        </is>
      </c>
      <c r="D233" t="inlineStr">
        <is>
          <t xml:space="preserve"> Medium </t>
        </is>
      </c>
      <c r="E233" t="n">
        <v>1303</v>
      </c>
      <c r="F233" s="69" t="n">
        <v>10</v>
      </c>
      <c r="G233" s="69" t="n">
        <v>20</v>
      </c>
      <c r="H233" s="69" t="n">
        <v>26060</v>
      </c>
      <c r="I233" s="5" t="n">
        <v>1303</v>
      </c>
      <c r="J233" s="69" t="n">
        <v>24757</v>
      </c>
      <c r="K233" s="69" t="n">
        <v>13030</v>
      </c>
      <c r="L233" s="69" t="n">
        <v>11727</v>
      </c>
      <c r="M233" s="1" t="n">
        <v>41641</v>
      </c>
      <c r="N233" t="n">
        <v>2</v>
      </c>
      <c r="O233" t="inlineStr">
        <is>
          <t xml:space="preserve"> February </t>
        </is>
      </c>
      <c r="P233" t="n">
        <v>2014</v>
      </c>
      <c r="Q233">
        <f>IF(Financials[[#This Row],[ Units_Sold ]]&lt;&gt;INT(Financials[[#This Row],[ Units_Sold ]]),1,0)</f>
        <v/>
      </c>
      <c r="R233" s="10">
        <f>Financials[[#This Row],[ Profit ]]/Financials[[#This Row],[  Sales ]]</f>
        <v/>
      </c>
      <c r="S233" s="2">
        <f>Financials[[#This Row],[ COGS ]]/Financials[[#This Row],[  Sales ]]</f>
        <v/>
      </c>
      <c r="T233" s="3">
        <f>Financials[[#This Row],[ Discounts ]]/Financials[[#This Row],[  Sales ]]</f>
        <v/>
      </c>
      <c r="U233">
        <f>Financials[[#This Row],[  Sales ]]/Financials[[#This Row],[ Units_Sold ]]</f>
        <v/>
      </c>
      <c r="V233">
        <f>Financials[[#This Row],[ Profit ]]/Financials[[#This Row],[ Units_Sold ]]</f>
        <v/>
      </c>
      <c r="W233">
        <f>IF(Financials[[#This Row],[ Profit ]]&lt;0,1,0)</f>
        <v/>
      </c>
    </row>
    <row r="234">
      <c r="A234" t="inlineStr">
        <is>
          <t>Enterprise</t>
        </is>
      </c>
      <c r="B234" t="inlineStr">
        <is>
          <t>United States of America</t>
        </is>
      </c>
      <c r="C234" t="inlineStr">
        <is>
          <t xml:space="preserve"> Paseo </t>
        </is>
      </c>
      <c r="D234" t="inlineStr">
        <is>
          <t xml:space="preserve"> Medium </t>
        </is>
      </c>
      <c r="E234" t="n">
        <v>2992</v>
      </c>
      <c r="F234" s="69" t="n">
        <v>10</v>
      </c>
      <c r="G234" s="69" t="n">
        <v>125</v>
      </c>
      <c r="H234" s="69" t="n">
        <v>374000</v>
      </c>
      <c r="I234" s="5" t="n">
        <v>18700</v>
      </c>
      <c r="J234" s="69" t="n">
        <v>355300</v>
      </c>
      <c r="K234" s="69" t="n">
        <v>359040</v>
      </c>
      <c r="L234" s="69" t="n">
        <v>-3740</v>
      </c>
      <c r="M234" s="1" t="n">
        <v>41642</v>
      </c>
      <c r="N234" t="n">
        <v>3</v>
      </c>
      <c r="O234" t="inlineStr">
        <is>
          <t xml:space="preserve"> March </t>
        </is>
      </c>
      <c r="P234" t="n">
        <v>2014</v>
      </c>
      <c r="Q234">
        <f>IF(Financials[[#This Row],[ Units_Sold ]]&lt;&gt;INT(Financials[[#This Row],[ Units_Sold ]]),1,0)</f>
        <v/>
      </c>
      <c r="R234" s="10">
        <f>Financials[[#This Row],[ Profit ]]/Financials[[#This Row],[  Sales ]]</f>
        <v/>
      </c>
      <c r="S234" s="2">
        <f>Financials[[#This Row],[ COGS ]]/Financials[[#This Row],[  Sales ]]</f>
        <v/>
      </c>
      <c r="T234" s="3">
        <f>Financials[[#This Row],[ Discounts ]]/Financials[[#This Row],[  Sales ]]</f>
        <v/>
      </c>
      <c r="U234">
        <f>Financials[[#This Row],[  Sales ]]/Financials[[#This Row],[ Units_Sold ]]</f>
        <v/>
      </c>
      <c r="V234">
        <f>Financials[[#This Row],[ Profit ]]/Financials[[#This Row],[ Units_Sold ]]</f>
        <v/>
      </c>
      <c r="W234">
        <f>IF(Financials[[#This Row],[ Profit ]]&lt;0,1,0)</f>
        <v/>
      </c>
    </row>
    <row r="235">
      <c r="A235" t="inlineStr">
        <is>
          <t>Enterprise</t>
        </is>
      </c>
      <c r="B235" t="inlineStr">
        <is>
          <t>France</t>
        </is>
      </c>
      <c r="C235" t="inlineStr">
        <is>
          <t xml:space="preserve"> Paseo </t>
        </is>
      </c>
      <c r="D235" t="inlineStr">
        <is>
          <t xml:space="preserve"> Medium </t>
        </is>
      </c>
      <c r="E235" t="n">
        <v>2385</v>
      </c>
      <c r="F235" s="69" t="n">
        <v>10</v>
      </c>
      <c r="G235" s="69" t="n">
        <v>125</v>
      </c>
      <c r="H235" s="69" t="n">
        <v>298125</v>
      </c>
      <c r="I235" s="5" t="n">
        <v>14906.25</v>
      </c>
      <c r="J235" s="69" t="n">
        <v>283218.75</v>
      </c>
      <c r="K235" s="69" t="n">
        <v>286200</v>
      </c>
      <c r="L235" s="69" t="n">
        <v>-2981.25</v>
      </c>
      <c r="M235" s="1" t="n">
        <v>41642</v>
      </c>
      <c r="N235" t="n">
        <v>3</v>
      </c>
      <c r="O235" t="inlineStr">
        <is>
          <t xml:space="preserve"> March </t>
        </is>
      </c>
      <c r="P235" t="n">
        <v>2014</v>
      </c>
      <c r="Q235">
        <f>IF(Financials[[#This Row],[ Units_Sold ]]&lt;&gt;INT(Financials[[#This Row],[ Units_Sold ]]),1,0)</f>
        <v/>
      </c>
      <c r="R235" s="10">
        <f>Financials[[#This Row],[ Profit ]]/Financials[[#This Row],[  Sales ]]</f>
        <v/>
      </c>
      <c r="S235" s="2">
        <f>Financials[[#This Row],[ COGS ]]/Financials[[#This Row],[  Sales ]]</f>
        <v/>
      </c>
      <c r="T235" s="3">
        <f>Financials[[#This Row],[ Discounts ]]/Financials[[#This Row],[  Sales ]]</f>
        <v/>
      </c>
      <c r="U235">
        <f>Financials[[#This Row],[  Sales ]]/Financials[[#This Row],[ Units_Sold ]]</f>
        <v/>
      </c>
      <c r="V235">
        <f>Financials[[#This Row],[ Profit ]]/Financials[[#This Row],[ Units_Sold ]]</f>
        <v/>
      </c>
      <c r="W235">
        <f>IF(Financials[[#This Row],[ Profit ]]&lt;0,1,0)</f>
        <v/>
      </c>
    </row>
    <row r="236">
      <c r="A236" t="inlineStr">
        <is>
          <t>Small Business</t>
        </is>
      </c>
      <c r="B236" t="inlineStr">
        <is>
          <t>Mexico</t>
        </is>
      </c>
      <c r="C236" t="inlineStr">
        <is>
          <t xml:space="preserve"> Paseo </t>
        </is>
      </c>
      <c r="D236" t="inlineStr">
        <is>
          <t xml:space="preserve"> Medium </t>
        </is>
      </c>
      <c r="E236" t="n">
        <v>1607</v>
      </c>
      <c r="F236" s="69" t="n">
        <v>10</v>
      </c>
      <c r="G236" s="69" t="n">
        <v>300</v>
      </c>
      <c r="H236" s="69" t="n">
        <v>482100</v>
      </c>
      <c r="I236" s="5" t="n">
        <v>24105</v>
      </c>
      <c r="J236" s="69" t="n">
        <v>457995</v>
      </c>
      <c r="K236" s="69" t="n">
        <v>401750</v>
      </c>
      <c r="L236" s="69" t="n">
        <v>56245</v>
      </c>
      <c r="M236" s="1" t="n">
        <v>41643</v>
      </c>
      <c r="N236" t="n">
        <v>4</v>
      </c>
      <c r="O236" t="inlineStr">
        <is>
          <t xml:space="preserve"> April </t>
        </is>
      </c>
      <c r="P236" t="n">
        <v>2014</v>
      </c>
      <c r="Q236">
        <f>IF(Financials[[#This Row],[ Units_Sold ]]&lt;&gt;INT(Financials[[#This Row],[ Units_Sold ]]),1,0)</f>
        <v/>
      </c>
      <c r="R236" s="10">
        <f>Financials[[#This Row],[ Profit ]]/Financials[[#This Row],[  Sales ]]</f>
        <v/>
      </c>
      <c r="S236" s="2">
        <f>Financials[[#This Row],[ COGS ]]/Financials[[#This Row],[  Sales ]]</f>
        <v/>
      </c>
      <c r="T236" s="3">
        <f>Financials[[#This Row],[ Discounts ]]/Financials[[#This Row],[  Sales ]]</f>
        <v/>
      </c>
      <c r="U236">
        <f>Financials[[#This Row],[  Sales ]]/Financials[[#This Row],[ Units_Sold ]]</f>
        <v/>
      </c>
      <c r="V236">
        <f>Financials[[#This Row],[ Profit ]]/Financials[[#This Row],[ Units_Sold ]]</f>
        <v/>
      </c>
      <c r="W236">
        <f>IF(Financials[[#This Row],[ Profit ]]&lt;0,1,0)</f>
        <v/>
      </c>
    </row>
    <row r="237">
      <c r="A237" t="inlineStr">
        <is>
          <t>Government</t>
        </is>
      </c>
      <c r="B237" t="inlineStr">
        <is>
          <t>United States of America</t>
        </is>
      </c>
      <c r="C237" t="inlineStr">
        <is>
          <t xml:space="preserve"> Paseo </t>
        </is>
      </c>
      <c r="D237" t="inlineStr">
        <is>
          <t xml:space="preserve"> Medium </t>
        </is>
      </c>
      <c r="E237" t="n">
        <v>2327</v>
      </c>
      <c r="F237" s="69" t="n">
        <v>10</v>
      </c>
      <c r="G237" s="69" t="n">
        <v>7</v>
      </c>
      <c r="H237" s="69" t="n">
        <v>16289</v>
      </c>
      <c r="I237" s="5" t="n">
        <v>814.45</v>
      </c>
      <c r="J237" s="69" t="n">
        <v>15474.55</v>
      </c>
      <c r="K237" s="69" t="n">
        <v>11635</v>
      </c>
      <c r="L237" s="69" t="n">
        <v>3839.55</v>
      </c>
      <c r="M237" s="1" t="n">
        <v>41644</v>
      </c>
      <c r="N237" t="n">
        <v>5</v>
      </c>
      <c r="O237" t="inlineStr">
        <is>
          <t xml:space="preserve"> May </t>
        </is>
      </c>
      <c r="P237" t="n">
        <v>2014</v>
      </c>
      <c r="Q237">
        <f>IF(Financials[[#This Row],[ Units_Sold ]]&lt;&gt;INT(Financials[[#This Row],[ Units_Sold ]]),1,0)</f>
        <v/>
      </c>
      <c r="R237" s="10">
        <f>Financials[[#This Row],[ Profit ]]/Financials[[#This Row],[  Sales ]]</f>
        <v/>
      </c>
      <c r="S237" s="2">
        <f>Financials[[#This Row],[ COGS ]]/Financials[[#This Row],[  Sales ]]</f>
        <v/>
      </c>
      <c r="T237" s="3">
        <f>Financials[[#This Row],[ Discounts ]]/Financials[[#This Row],[  Sales ]]</f>
        <v/>
      </c>
      <c r="U237">
        <f>Financials[[#This Row],[  Sales ]]/Financials[[#This Row],[ Units_Sold ]]</f>
        <v/>
      </c>
      <c r="V237">
        <f>Financials[[#This Row],[ Profit ]]/Financials[[#This Row],[ Units_Sold ]]</f>
        <v/>
      </c>
      <c r="W237">
        <f>IF(Financials[[#This Row],[ Profit ]]&lt;0,1,0)</f>
        <v/>
      </c>
    </row>
    <row r="238">
      <c r="A238" t="inlineStr">
        <is>
          <t>Small Business</t>
        </is>
      </c>
      <c r="B238" t="inlineStr">
        <is>
          <t>United States of America</t>
        </is>
      </c>
      <c r="C238" t="inlineStr">
        <is>
          <t xml:space="preserve"> Paseo </t>
        </is>
      </c>
      <c r="D238" t="inlineStr">
        <is>
          <t xml:space="preserve"> Medium </t>
        </is>
      </c>
      <c r="E238" t="n">
        <v>991</v>
      </c>
      <c r="F238" s="69" t="n">
        <v>10</v>
      </c>
      <c r="G238" s="69" t="n">
        <v>300</v>
      </c>
      <c r="H238" s="69" t="n">
        <v>297300</v>
      </c>
      <c r="I238" s="5" t="n">
        <v>14865</v>
      </c>
      <c r="J238" s="69" t="n">
        <v>282435</v>
      </c>
      <c r="K238" s="69" t="n">
        <v>247750</v>
      </c>
      <c r="L238" s="69" t="n">
        <v>34685</v>
      </c>
      <c r="M238" s="1" t="n">
        <v>41645</v>
      </c>
      <c r="N238" t="n">
        <v>6</v>
      </c>
      <c r="O238" t="inlineStr">
        <is>
          <t xml:space="preserve"> June </t>
        </is>
      </c>
      <c r="P238" t="n">
        <v>2014</v>
      </c>
      <c r="Q238">
        <f>IF(Financials[[#This Row],[ Units_Sold ]]&lt;&gt;INT(Financials[[#This Row],[ Units_Sold ]]),1,0)</f>
        <v/>
      </c>
      <c r="R238" s="10">
        <f>Financials[[#This Row],[ Profit ]]/Financials[[#This Row],[  Sales ]]</f>
        <v/>
      </c>
      <c r="S238" s="2">
        <f>Financials[[#This Row],[ COGS ]]/Financials[[#This Row],[  Sales ]]</f>
        <v/>
      </c>
      <c r="T238" s="3">
        <f>Financials[[#This Row],[ Discounts ]]/Financials[[#This Row],[  Sales ]]</f>
        <v/>
      </c>
      <c r="U238">
        <f>Financials[[#This Row],[  Sales ]]/Financials[[#This Row],[ Units_Sold ]]</f>
        <v/>
      </c>
      <c r="V238">
        <f>Financials[[#This Row],[ Profit ]]/Financials[[#This Row],[ Units_Sold ]]</f>
        <v/>
      </c>
      <c r="W238">
        <f>IF(Financials[[#This Row],[ Profit ]]&lt;0,1,0)</f>
        <v/>
      </c>
    </row>
    <row r="239">
      <c r="A239" t="inlineStr">
        <is>
          <t>Government</t>
        </is>
      </c>
      <c r="B239" t="inlineStr">
        <is>
          <t>United States of America</t>
        </is>
      </c>
      <c r="C239" t="inlineStr">
        <is>
          <t xml:space="preserve"> Paseo </t>
        </is>
      </c>
      <c r="D239" t="inlineStr">
        <is>
          <t xml:space="preserve"> Medium </t>
        </is>
      </c>
      <c r="E239" t="n">
        <v>602</v>
      </c>
      <c r="F239" s="69" t="n">
        <v>10</v>
      </c>
      <c r="G239" s="69" t="n">
        <v>350</v>
      </c>
      <c r="H239" s="69" t="n">
        <v>210700</v>
      </c>
      <c r="I239" s="5" t="n">
        <v>10535</v>
      </c>
      <c r="J239" s="69" t="n">
        <v>200165</v>
      </c>
      <c r="K239" s="69" t="n">
        <v>156520</v>
      </c>
      <c r="L239" s="69" t="n">
        <v>43645</v>
      </c>
      <c r="M239" s="1" t="n">
        <v>41645</v>
      </c>
      <c r="N239" t="n">
        <v>6</v>
      </c>
      <c r="O239" t="inlineStr">
        <is>
          <t xml:space="preserve"> June </t>
        </is>
      </c>
      <c r="P239" t="n">
        <v>2014</v>
      </c>
      <c r="Q239">
        <f>IF(Financials[[#This Row],[ Units_Sold ]]&lt;&gt;INT(Financials[[#This Row],[ Units_Sold ]]),1,0)</f>
        <v/>
      </c>
      <c r="R239" s="10">
        <f>Financials[[#This Row],[ Profit ]]/Financials[[#This Row],[  Sales ]]</f>
        <v/>
      </c>
      <c r="S239" s="2">
        <f>Financials[[#This Row],[ COGS ]]/Financials[[#This Row],[  Sales ]]</f>
        <v/>
      </c>
      <c r="T239" s="3">
        <f>Financials[[#This Row],[ Discounts ]]/Financials[[#This Row],[  Sales ]]</f>
        <v/>
      </c>
      <c r="U239">
        <f>Financials[[#This Row],[  Sales ]]/Financials[[#This Row],[ Units_Sold ]]</f>
        <v/>
      </c>
      <c r="V239">
        <f>Financials[[#This Row],[ Profit ]]/Financials[[#This Row],[ Units_Sold ]]</f>
        <v/>
      </c>
      <c r="W239">
        <f>IF(Financials[[#This Row],[ Profit ]]&lt;0,1,0)</f>
        <v/>
      </c>
    </row>
    <row r="240">
      <c r="A240" t="inlineStr">
        <is>
          <t>Midmarket</t>
        </is>
      </c>
      <c r="B240" t="inlineStr">
        <is>
          <t>France</t>
        </is>
      </c>
      <c r="C240" t="inlineStr">
        <is>
          <t xml:space="preserve"> Paseo </t>
        </is>
      </c>
      <c r="D240" t="inlineStr">
        <is>
          <t xml:space="preserve"> Medium </t>
        </is>
      </c>
      <c r="E240" t="n">
        <v>2620</v>
      </c>
      <c r="F240" s="69" t="n">
        <v>10</v>
      </c>
      <c r="G240" s="69" t="n">
        <v>15</v>
      </c>
      <c r="H240" s="69" t="n">
        <v>39300</v>
      </c>
      <c r="I240" s="5" t="n">
        <v>1965</v>
      </c>
      <c r="J240" s="69" t="n">
        <v>37335</v>
      </c>
      <c r="K240" s="69" t="n">
        <v>26200</v>
      </c>
      <c r="L240" s="69" t="n">
        <v>11135</v>
      </c>
      <c r="M240" s="1" t="n">
        <v>41648</v>
      </c>
      <c r="N240" t="n">
        <v>9</v>
      </c>
      <c r="O240" t="inlineStr">
        <is>
          <t xml:space="preserve"> September </t>
        </is>
      </c>
      <c r="P240" t="n">
        <v>2014</v>
      </c>
      <c r="Q240">
        <f>IF(Financials[[#This Row],[ Units_Sold ]]&lt;&gt;INT(Financials[[#This Row],[ Units_Sold ]]),1,0)</f>
        <v/>
      </c>
      <c r="R240" s="10">
        <f>Financials[[#This Row],[ Profit ]]/Financials[[#This Row],[  Sales ]]</f>
        <v/>
      </c>
      <c r="S240" s="2">
        <f>Financials[[#This Row],[ COGS ]]/Financials[[#This Row],[  Sales ]]</f>
        <v/>
      </c>
      <c r="T240" s="3">
        <f>Financials[[#This Row],[ Discounts ]]/Financials[[#This Row],[  Sales ]]</f>
        <v/>
      </c>
      <c r="U240">
        <f>Financials[[#This Row],[  Sales ]]/Financials[[#This Row],[ Units_Sold ]]</f>
        <v/>
      </c>
      <c r="V240">
        <f>Financials[[#This Row],[ Profit ]]/Financials[[#This Row],[ Units_Sold ]]</f>
        <v/>
      </c>
      <c r="W240">
        <f>IF(Financials[[#This Row],[ Profit ]]&lt;0,1,0)</f>
        <v/>
      </c>
    </row>
    <row r="241">
      <c r="A241" t="inlineStr">
        <is>
          <t>Government</t>
        </is>
      </c>
      <c r="B241" t="inlineStr">
        <is>
          <t>Canada</t>
        </is>
      </c>
      <c r="C241" t="inlineStr">
        <is>
          <t xml:space="preserve"> Paseo </t>
        </is>
      </c>
      <c r="D241" t="inlineStr">
        <is>
          <t xml:space="preserve"> Medium </t>
        </is>
      </c>
      <c r="E241" t="n">
        <v>1228</v>
      </c>
      <c r="F241" s="69" t="n">
        <v>10</v>
      </c>
      <c r="G241" s="69" t="n">
        <v>350</v>
      </c>
      <c r="H241" s="69" t="n">
        <v>429800</v>
      </c>
      <c r="I241" s="5" t="n">
        <v>21490</v>
      </c>
      <c r="J241" s="69" t="n">
        <v>408310</v>
      </c>
      <c r="K241" s="69" t="n">
        <v>319280</v>
      </c>
      <c r="L241" s="69" t="n">
        <v>89030</v>
      </c>
      <c r="M241" s="1" t="n">
        <v>41284</v>
      </c>
      <c r="N241" t="n">
        <v>10</v>
      </c>
      <c r="O241" t="inlineStr">
        <is>
          <t xml:space="preserve"> October </t>
        </is>
      </c>
      <c r="P241" t="n">
        <v>2013</v>
      </c>
      <c r="Q241">
        <f>IF(Financials[[#This Row],[ Units_Sold ]]&lt;&gt;INT(Financials[[#This Row],[ Units_Sold ]]),1,0)</f>
        <v/>
      </c>
      <c r="R241" s="10">
        <f>Financials[[#This Row],[ Profit ]]/Financials[[#This Row],[  Sales ]]</f>
        <v/>
      </c>
      <c r="S241" s="2">
        <f>Financials[[#This Row],[ COGS ]]/Financials[[#This Row],[  Sales ]]</f>
        <v/>
      </c>
      <c r="T241" s="3">
        <f>Financials[[#This Row],[ Discounts ]]/Financials[[#This Row],[  Sales ]]</f>
        <v/>
      </c>
      <c r="U241">
        <f>Financials[[#This Row],[  Sales ]]/Financials[[#This Row],[ Units_Sold ]]</f>
        <v/>
      </c>
      <c r="V241">
        <f>Financials[[#This Row],[ Profit ]]/Financials[[#This Row],[ Units_Sold ]]</f>
        <v/>
      </c>
      <c r="W241">
        <f>IF(Financials[[#This Row],[ Profit ]]&lt;0,1,0)</f>
        <v/>
      </c>
    </row>
    <row r="242">
      <c r="A242" t="inlineStr">
        <is>
          <t>Government</t>
        </is>
      </c>
      <c r="B242" t="inlineStr">
        <is>
          <t>Canada</t>
        </is>
      </c>
      <c r="C242" t="inlineStr">
        <is>
          <t xml:space="preserve"> Paseo </t>
        </is>
      </c>
      <c r="D242" t="inlineStr">
        <is>
          <t xml:space="preserve"> Medium </t>
        </is>
      </c>
      <c r="E242" t="n">
        <v>1389</v>
      </c>
      <c r="F242" s="69" t="n">
        <v>10</v>
      </c>
      <c r="G242" s="69" t="n">
        <v>20</v>
      </c>
      <c r="H242" s="69" t="n">
        <v>27780</v>
      </c>
      <c r="I242" s="5" t="n">
        <v>1389</v>
      </c>
      <c r="J242" s="69" t="n">
        <v>26391</v>
      </c>
      <c r="K242" s="69" t="n">
        <v>13890</v>
      </c>
      <c r="L242" s="69" t="n">
        <v>12501</v>
      </c>
      <c r="M242" s="1" t="n">
        <v>41284</v>
      </c>
      <c r="N242" t="n">
        <v>10</v>
      </c>
      <c r="O242" t="inlineStr">
        <is>
          <t xml:space="preserve"> October </t>
        </is>
      </c>
      <c r="P242" t="n">
        <v>2013</v>
      </c>
      <c r="Q242">
        <f>IF(Financials[[#This Row],[ Units_Sold ]]&lt;&gt;INT(Financials[[#This Row],[ Units_Sold ]]),1,0)</f>
        <v/>
      </c>
      <c r="R242" s="10">
        <f>Financials[[#This Row],[ Profit ]]/Financials[[#This Row],[  Sales ]]</f>
        <v/>
      </c>
      <c r="S242" s="2">
        <f>Financials[[#This Row],[ COGS ]]/Financials[[#This Row],[  Sales ]]</f>
        <v/>
      </c>
      <c r="T242" s="3">
        <f>Financials[[#This Row],[ Discounts ]]/Financials[[#This Row],[  Sales ]]</f>
        <v/>
      </c>
      <c r="U242">
        <f>Financials[[#This Row],[  Sales ]]/Financials[[#This Row],[ Units_Sold ]]</f>
        <v/>
      </c>
      <c r="V242">
        <f>Financials[[#This Row],[ Profit ]]/Financials[[#This Row],[ Units_Sold ]]</f>
        <v/>
      </c>
      <c r="W242">
        <f>IF(Financials[[#This Row],[ Profit ]]&lt;0,1,0)</f>
        <v/>
      </c>
    </row>
    <row r="243">
      <c r="A243" t="inlineStr">
        <is>
          <t>Enterprise</t>
        </is>
      </c>
      <c r="B243" t="inlineStr">
        <is>
          <t>United States of America</t>
        </is>
      </c>
      <c r="C243" t="inlineStr">
        <is>
          <t xml:space="preserve"> Paseo </t>
        </is>
      </c>
      <c r="D243" t="inlineStr">
        <is>
          <t xml:space="preserve"> Medium </t>
        </is>
      </c>
      <c r="E243" t="n">
        <v>861</v>
      </c>
      <c r="F243" s="69" t="n">
        <v>10</v>
      </c>
      <c r="G243" s="69" t="n">
        <v>125</v>
      </c>
      <c r="H243" s="69" t="n">
        <v>107625</v>
      </c>
      <c r="I243" s="5" t="n">
        <v>5381.25</v>
      </c>
      <c r="J243" s="69" t="n">
        <v>102243.75</v>
      </c>
      <c r="K243" s="69" t="n">
        <v>103320</v>
      </c>
      <c r="L243" s="69" t="n">
        <v>-1076.25</v>
      </c>
      <c r="M243" s="1" t="n">
        <v>41649</v>
      </c>
      <c r="N243" t="n">
        <v>10</v>
      </c>
      <c r="O243" t="inlineStr">
        <is>
          <t xml:space="preserve"> October </t>
        </is>
      </c>
      <c r="P243" t="n">
        <v>2014</v>
      </c>
      <c r="Q243">
        <f>IF(Financials[[#This Row],[ Units_Sold ]]&lt;&gt;INT(Financials[[#This Row],[ Units_Sold ]]),1,0)</f>
        <v/>
      </c>
      <c r="R243" s="10">
        <f>Financials[[#This Row],[ Profit ]]/Financials[[#This Row],[  Sales ]]</f>
        <v/>
      </c>
      <c r="S243" s="2">
        <f>Financials[[#This Row],[ COGS ]]/Financials[[#This Row],[  Sales ]]</f>
        <v/>
      </c>
      <c r="T243" s="3">
        <f>Financials[[#This Row],[ Discounts ]]/Financials[[#This Row],[  Sales ]]</f>
        <v/>
      </c>
      <c r="U243">
        <f>Financials[[#This Row],[  Sales ]]/Financials[[#This Row],[ Units_Sold ]]</f>
        <v/>
      </c>
      <c r="V243">
        <f>Financials[[#This Row],[ Profit ]]/Financials[[#This Row],[ Units_Sold ]]</f>
        <v/>
      </c>
      <c r="W243">
        <f>IF(Financials[[#This Row],[ Profit ]]&lt;0,1,0)</f>
        <v/>
      </c>
    </row>
    <row r="244">
      <c r="A244" t="inlineStr">
        <is>
          <t>Enterprise</t>
        </is>
      </c>
      <c r="B244" t="inlineStr">
        <is>
          <t>France</t>
        </is>
      </c>
      <c r="C244" t="inlineStr">
        <is>
          <t xml:space="preserve"> Paseo </t>
        </is>
      </c>
      <c r="D244" t="inlineStr">
        <is>
          <t xml:space="preserve"> Medium </t>
        </is>
      </c>
      <c r="E244" t="n">
        <v>704</v>
      </c>
      <c r="F244" s="69" t="n">
        <v>10</v>
      </c>
      <c r="G244" s="69" t="n">
        <v>125</v>
      </c>
      <c r="H244" s="69" t="n">
        <v>88000</v>
      </c>
      <c r="I244" s="5" t="n">
        <v>4400</v>
      </c>
      <c r="J244" s="69" t="n">
        <v>83600</v>
      </c>
      <c r="K244" s="69" t="n">
        <v>84480</v>
      </c>
      <c r="L244" s="69" t="n">
        <v>-880</v>
      </c>
      <c r="M244" s="1" t="n">
        <v>41284</v>
      </c>
      <c r="N244" t="n">
        <v>10</v>
      </c>
      <c r="O244" t="inlineStr">
        <is>
          <t xml:space="preserve"> October </t>
        </is>
      </c>
      <c r="P244" t="n">
        <v>2013</v>
      </c>
      <c r="Q244">
        <f>IF(Financials[[#This Row],[ Units_Sold ]]&lt;&gt;INT(Financials[[#This Row],[ Units_Sold ]]),1,0)</f>
        <v/>
      </c>
      <c r="R244" s="10">
        <f>Financials[[#This Row],[ Profit ]]/Financials[[#This Row],[  Sales ]]</f>
        <v/>
      </c>
      <c r="S244" s="2">
        <f>Financials[[#This Row],[ COGS ]]/Financials[[#This Row],[  Sales ]]</f>
        <v/>
      </c>
      <c r="T244" s="3">
        <f>Financials[[#This Row],[ Discounts ]]/Financials[[#This Row],[  Sales ]]</f>
        <v/>
      </c>
      <c r="U244">
        <f>Financials[[#This Row],[  Sales ]]/Financials[[#This Row],[ Units_Sold ]]</f>
        <v/>
      </c>
      <c r="V244">
        <f>Financials[[#This Row],[ Profit ]]/Financials[[#This Row],[ Units_Sold ]]</f>
        <v/>
      </c>
      <c r="W244">
        <f>IF(Financials[[#This Row],[ Profit ]]&lt;0,1,0)</f>
        <v/>
      </c>
    </row>
    <row r="245">
      <c r="A245" t="inlineStr">
        <is>
          <t>Government</t>
        </is>
      </c>
      <c r="B245" t="inlineStr">
        <is>
          <t>Canada</t>
        </is>
      </c>
      <c r="C245" t="inlineStr">
        <is>
          <t xml:space="preserve"> Paseo </t>
        </is>
      </c>
      <c r="D245" t="inlineStr">
        <is>
          <t xml:space="preserve"> Medium </t>
        </is>
      </c>
      <c r="E245" t="n">
        <v>1802</v>
      </c>
      <c r="F245" s="69" t="n">
        <v>10</v>
      </c>
      <c r="G245" s="69" t="n">
        <v>20</v>
      </c>
      <c r="H245" s="69" t="n">
        <v>36040</v>
      </c>
      <c r="I245" s="5" t="n">
        <v>1802</v>
      </c>
      <c r="J245" s="69" t="n">
        <v>34238</v>
      </c>
      <c r="K245" s="69" t="n">
        <v>18020</v>
      </c>
      <c r="L245" s="69" t="n">
        <v>16218</v>
      </c>
      <c r="M245" s="1" t="n">
        <v>41286</v>
      </c>
      <c r="N245" t="n">
        <v>12</v>
      </c>
      <c r="O245" t="inlineStr">
        <is>
          <t xml:space="preserve"> December </t>
        </is>
      </c>
      <c r="P245" t="n">
        <v>2013</v>
      </c>
      <c r="Q245">
        <f>IF(Financials[[#This Row],[ Units_Sold ]]&lt;&gt;INT(Financials[[#This Row],[ Units_Sold ]]),1,0)</f>
        <v/>
      </c>
      <c r="R245" s="10">
        <f>Financials[[#This Row],[ Profit ]]/Financials[[#This Row],[  Sales ]]</f>
        <v/>
      </c>
      <c r="S245" s="2">
        <f>Financials[[#This Row],[ COGS ]]/Financials[[#This Row],[  Sales ]]</f>
        <v/>
      </c>
      <c r="T245" s="3">
        <f>Financials[[#This Row],[ Discounts ]]/Financials[[#This Row],[  Sales ]]</f>
        <v/>
      </c>
      <c r="U245">
        <f>Financials[[#This Row],[  Sales ]]/Financials[[#This Row],[ Units_Sold ]]</f>
        <v/>
      </c>
      <c r="V245">
        <f>Financials[[#This Row],[ Profit ]]/Financials[[#This Row],[ Units_Sold ]]</f>
        <v/>
      </c>
      <c r="W245">
        <f>IF(Financials[[#This Row],[ Profit ]]&lt;0,1,0)</f>
        <v/>
      </c>
    </row>
    <row r="246">
      <c r="A246" t="inlineStr">
        <is>
          <t>Government</t>
        </is>
      </c>
      <c r="B246" t="inlineStr">
        <is>
          <t>United States of America</t>
        </is>
      </c>
      <c r="C246" t="inlineStr">
        <is>
          <t xml:space="preserve"> Paseo </t>
        </is>
      </c>
      <c r="D246" t="inlineStr">
        <is>
          <t xml:space="preserve"> Medium </t>
        </is>
      </c>
      <c r="E246" t="n">
        <v>2663</v>
      </c>
      <c r="F246" s="69" t="n">
        <v>10</v>
      </c>
      <c r="G246" s="69" t="n">
        <v>20</v>
      </c>
      <c r="H246" s="69" t="n">
        <v>53260</v>
      </c>
      <c r="I246" s="5" t="n">
        <v>2663</v>
      </c>
      <c r="J246" s="69" t="n">
        <v>50597</v>
      </c>
      <c r="K246" s="69" t="n">
        <v>26630</v>
      </c>
      <c r="L246" s="69" t="n">
        <v>23967</v>
      </c>
      <c r="M246" s="1" t="n">
        <v>41651</v>
      </c>
      <c r="N246" t="n">
        <v>12</v>
      </c>
      <c r="O246" t="inlineStr">
        <is>
          <t xml:space="preserve"> December </t>
        </is>
      </c>
      <c r="P246" t="n">
        <v>2014</v>
      </c>
      <c r="Q246">
        <f>IF(Financials[[#This Row],[ Units_Sold ]]&lt;&gt;INT(Financials[[#This Row],[ Units_Sold ]]),1,0)</f>
        <v/>
      </c>
      <c r="R246" s="10">
        <f>Financials[[#This Row],[ Profit ]]/Financials[[#This Row],[  Sales ]]</f>
        <v/>
      </c>
      <c r="S246" s="2">
        <f>Financials[[#This Row],[ COGS ]]/Financials[[#This Row],[  Sales ]]</f>
        <v/>
      </c>
      <c r="T246" s="3">
        <f>Financials[[#This Row],[ Discounts ]]/Financials[[#This Row],[  Sales ]]</f>
        <v/>
      </c>
      <c r="U246">
        <f>Financials[[#This Row],[  Sales ]]/Financials[[#This Row],[ Units_Sold ]]</f>
        <v/>
      </c>
      <c r="V246">
        <f>Financials[[#This Row],[ Profit ]]/Financials[[#This Row],[ Units_Sold ]]</f>
        <v/>
      </c>
      <c r="W246">
        <f>IF(Financials[[#This Row],[ Profit ]]&lt;0,1,0)</f>
        <v/>
      </c>
    </row>
    <row r="247">
      <c r="A247" t="inlineStr">
        <is>
          <t>Government</t>
        </is>
      </c>
      <c r="B247" t="inlineStr">
        <is>
          <t>France</t>
        </is>
      </c>
      <c r="C247" t="inlineStr">
        <is>
          <t xml:space="preserve"> Paseo </t>
        </is>
      </c>
      <c r="D247" t="inlineStr">
        <is>
          <t xml:space="preserve"> Medium </t>
        </is>
      </c>
      <c r="E247" t="n">
        <v>2136</v>
      </c>
      <c r="F247" s="69" t="n">
        <v>10</v>
      </c>
      <c r="G247" s="69" t="n">
        <v>7</v>
      </c>
      <c r="H247" s="69" t="n">
        <v>14952</v>
      </c>
      <c r="I247" s="5" t="n">
        <v>747.6</v>
      </c>
      <c r="J247" s="69" t="n">
        <v>14204.4</v>
      </c>
      <c r="K247" s="69" t="n">
        <v>10680</v>
      </c>
      <c r="L247" s="69" t="n">
        <v>3524.4</v>
      </c>
      <c r="M247" s="1" t="n">
        <v>41286</v>
      </c>
      <c r="N247" t="n">
        <v>12</v>
      </c>
      <c r="O247" t="inlineStr">
        <is>
          <t xml:space="preserve"> December </t>
        </is>
      </c>
      <c r="P247" t="n">
        <v>2013</v>
      </c>
      <c r="Q247">
        <f>IF(Financials[[#This Row],[ Units_Sold ]]&lt;&gt;INT(Financials[[#This Row],[ Units_Sold ]]),1,0)</f>
        <v/>
      </c>
      <c r="R247" s="10">
        <f>Financials[[#This Row],[ Profit ]]/Financials[[#This Row],[  Sales ]]</f>
        <v/>
      </c>
      <c r="S247" s="2">
        <f>Financials[[#This Row],[ COGS ]]/Financials[[#This Row],[  Sales ]]</f>
        <v/>
      </c>
      <c r="T247" s="3">
        <f>Financials[[#This Row],[ Discounts ]]/Financials[[#This Row],[  Sales ]]</f>
        <v/>
      </c>
      <c r="U247">
        <f>Financials[[#This Row],[  Sales ]]/Financials[[#This Row],[ Units_Sold ]]</f>
        <v/>
      </c>
      <c r="V247">
        <f>Financials[[#This Row],[ Profit ]]/Financials[[#This Row],[ Units_Sold ]]</f>
        <v/>
      </c>
      <c r="W247">
        <f>IF(Financials[[#This Row],[ Profit ]]&lt;0,1,0)</f>
        <v/>
      </c>
    </row>
    <row r="248">
      <c r="A248" t="inlineStr">
        <is>
          <t>Midmarket</t>
        </is>
      </c>
      <c r="B248" t="inlineStr">
        <is>
          <t>Germany</t>
        </is>
      </c>
      <c r="C248" t="inlineStr">
        <is>
          <t xml:space="preserve"> Paseo </t>
        </is>
      </c>
      <c r="D248" t="inlineStr">
        <is>
          <t xml:space="preserve"> Medium </t>
        </is>
      </c>
      <c r="E248" t="n">
        <v>2116</v>
      </c>
      <c r="F248" s="69" t="n">
        <v>10</v>
      </c>
      <c r="G248" s="69" t="n">
        <v>15</v>
      </c>
      <c r="H248" s="69" t="n">
        <v>31740</v>
      </c>
      <c r="I248" s="5" t="n">
        <v>1587</v>
      </c>
      <c r="J248" s="69" t="n">
        <v>30153</v>
      </c>
      <c r="K248" s="69" t="n">
        <v>21160</v>
      </c>
      <c r="L248" s="69" t="n">
        <v>8993</v>
      </c>
      <c r="M248" s="1" t="n">
        <v>41286</v>
      </c>
      <c r="N248" t="n">
        <v>12</v>
      </c>
      <c r="O248" t="inlineStr">
        <is>
          <t xml:space="preserve"> December </t>
        </is>
      </c>
      <c r="P248" t="n">
        <v>2013</v>
      </c>
      <c r="Q248">
        <f>IF(Financials[[#This Row],[ Units_Sold ]]&lt;&gt;INT(Financials[[#This Row],[ Units_Sold ]]),1,0)</f>
        <v/>
      </c>
      <c r="R248" s="10">
        <f>Financials[[#This Row],[ Profit ]]/Financials[[#This Row],[  Sales ]]</f>
        <v/>
      </c>
      <c r="S248" s="2">
        <f>Financials[[#This Row],[ COGS ]]/Financials[[#This Row],[  Sales ]]</f>
        <v/>
      </c>
      <c r="T248" s="3">
        <f>Financials[[#This Row],[ Discounts ]]/Financials[[#This Row],[  Sales ]]</f>
        <v/>
      </c>
      <c r="U248">
        <f>Financials[[#This Row],[  Sales ]]/Financials[[#This Row],[ Units_Sold ]]</f>
        <v/>
      </c>
      <c r="V248">
        <f>Financials[[#This Row],[ Profit ]]/Financials[[#This Row],[ Units_Sold ]]</f>
        <v/>
      </c>
      <c r="W248">
        <f>IF(Financials[[#This Row],[ Profit ]]&lt;0,1,0)</f>
        <v/>
      </c>
    </row>
    <row r="249">
      <c r="A249" t="inlineStr">
        <is>
          <t>Midmarket</t>
        </is>
      </c>
      <c r="B249" t="inlineStr">
        <is>
          <t>United States of America</t>
        </is>
      </c>
      <c r="C249" t="inlineStr">
        <is>
          <t xml:space="preserve"> Velo </t>
        </is>
      </c>
      <c r="D249" t="inlineStr">
        <is>
          <t xml:space="preserve"> Medium </t>
        </is>
      </c>
      <c r="E249" t="n">
        <v>555</v>
      </c>
      <c r="F249" s="69" t="n">
        <v>120</v>
      </c>
      <c r="G249" s="69" t="n">
        <v>15</v>
      </c>
      <c r="H249" s="69" t="n">
        <v>8325</v>
      </c>
      <c r="I249" s="5" t="n">
        <v>416.25</v>
      </c>
      <c r="J249" s="69" t="n">
        <v>7908.75</v>
      </c>
      <c r="K249" s="69" t="n">
        <v>5550</v>
      </c>
      <c r="L249" s="69" t="n">
        <v>2358.75</v>
      </c>
      <c r="M249" s="1" t="n">
        <v>41640</v>
      </c>
      <c r="N249" t="n">
        <v>1</v>
      </c>
      <c r="O249" t="inlineStr">
        <is>
          <t xml:space="preserve"> January </t>
        </is>
      </c>
      <c r="P249" t="n">
        <v>2014</v>
      </c>
      <c r="Q249">
        <f>IF(Financials[[#This Row],[ Units_Sold ]]&lt;&gt;INT(Financials[[#This Row],[ Units_Sold ]]),1,0)</f>
        <v/>
      </c>
      <c r="R249" s="10">
        <f>Financials[[#This Row],[ Profit ]]/Financials[[#This Row],[  Sales ]]</f>
        <v/>
      </c>
      <c r="S249" s="2">
        <f>Financials[[#This Row],[ COGS ]]/Financials[[#This Row],[  Sales ]]</f>
        <v/>
      </c>
      <c r="T249" s="3">
        <f>Financials[[#This Row],[ Discounts ]]/Financials[[#This Row],[  Sales ]]</f>
        <v/>
      </c>
      <c r="U249">
        <f>Financials[[#This Row],[  Sales ]]/Financials[[#This Row],[ Units_Sold ]]</f>
        <v/>
      </c>
      <c r="V249">
        <f>Financials[[#This Row],[ Profit ]]/Financials[[#This Row],[ Units_Sold ]]</f>
        <v/>
      </c>
      <c r="W249">
        <f>IF(Financials[[#This Row],[ Profit ]]&lt;0,1,0)</f>
        <v/>
      </c>
    </row>
    <row r="250">
      <c r="A250" t="inlineStr">
        <is>
          <t>Midmarket</t>
        </is>
      </c>
      <c r="B250" t="inlineStr">
        <is>
          <t>Mexico</t>
        </is>
      </c>
      <c r="C250" t="inlineStr">
        <is>
          <t xml:space="preserve"> Velo </t>
        </is>
      </c>
      <c r="D250" t="inlineStr">
        <is>
          <t xml:space="preserve"> Medium </t>
        </is>
      </c>
      <c r="E250" t="n">
        <v>2861</v>
      </c>
      <c r="F250" s="69" t="n">
        <v>120</v>
      </c>
      <c r="G250" s="69" t="n">
        <v>15</v>
      </c>
      <c r="H250" s="69" t="n">
        <v>42915</v>
      </c>
      <c r="I250" s="5" t="n">
        <v>2145.75</v>
      </c>
      <c r="J250" s="69" t="n">
        <v>40769.25</v>
      </c>
      <c r="K250" s="69" t="n">
        <v>28610</v>
      </c>
      <c r="L250" s="69" t="n">
        <v>12159.25</v>
      </c>
      <c r="M250" s="1" t="n">
        <v>41640</v>
      </c>
      <c r="N250" t="n">
        <v>1</v>
      </c>
      <c r="O250" t="inlineStr">
        <is>
          <t xml:space="preserve"> January </t>
        </is>
      </c>
      <c r="P250" t="n">
        <v>2014</v>
      </c>
      <c r="Q250">
        <f>IF(Financials[[#This Row],[ Units_Sold ]]&lt;&gt;INT(Financials[[#This Row],[ Units_Sold ]]),1,0)</f>
        <v/>
      </c>
      <c r="R250" s="10">
        <f>Financials[[#This Row],[ Profit ]]/Financials[[#This Row],[  Sales ]]</f>
        <v/>
      </c>
      <c r="S250" s="2">
        <f>Financials[[#This Row],[ COGS ]]/Financials[[#This Row],[  Sales ]]</f>
        <v/>
      </c>
      <c r="T250" s="3">
        <f>Financials[[#This Row],[ Discounts ]]/Financials[[#This Row],[  Sales ]]</f>
        <v/>
      </c>
      <c r="U250">
        <f>Financials[[#This Row],[  Sales ]]/Financials[[#This Row],[ Units_Sold ]]</f>
        <v/>
      </c>
      <c r="V250">
        <f>Financials[[#This Row],[ Profit ]]/Financials[[#This Row],[ Units_Sold ]]</f>
        <v/>
      </c>
      <c r="W250">
        <f>IF(Financials[[#This Row],[ Profit ]]&lt;0,1,0)</f>
        <v/>
      </c>
    </row>
    <row r="251">
      <c r="A251" t="inlineStr">
        <is>
          <t>Enterprise</t>
        </is>
      </c>
      <c r="B251" t="inlineStr">
        <is>
          <t>Germany</t>
        </is>
      </c>
      <c r="C251" t="inlineStr">
        <is>
          <t xml:space="preserve"> Velo </t>
        </is>
      </c>
      <c r="D251" t="inlineStr">
        <is>
          <t xml:space="preserve"> Medium </t>
        </is>
      </c>
      <c r="E251" t="n">
        <v>807</v>
      </c>
      <c r="F251" s="69" t="n">
        <v>120</v>
      </c>
      <c r="G251" s="69" t="n">
        <v>125</v>
      </c>
      <c r="H251" s="69" t="n">
        <v>100875</v>
      </c>
      <c r="I251" s="5" t="n">
        <v>5043.75</v>
      </c>
      <c r="J251" s="69" t="n">
        <v>95831.25</v>
      </c>
      <c r="K251" s="69" t="n">
        <v>96840</v>
      </c>
      <c r="L251" s="69" t="n">
        <v>-1008.75</v>
      </c>
      <c r="M251" s="1" t="n">
        <v>41641</v>
      </c>
      <c r="N251" t="n">
        <v>2</v>
      </c>
      <c r="O251" t="inlineStr">
        <is>
          <t xml:space="preserve"> February </t>
        </is>
      </c>
      <c r="P251" t="n">
        <v>2014</v>
      </c>
      <c r="Q251">
        <f>IF(Financials[[#This Row],[ Units_Sold ]]&lt;&gt;INT(Financials[[#This Row],[ Units_Sold ]]),1,0)</f>
        <v/>
      </c>
      <c r="R251" s="10">
        <f>Financials[[#This Row],[ Profit ]]/Financials[[#This Row],[  Sales ]]</f>
        <v/>
      </c>
      <c r="S251" s="2">
        <f>Financials[[#This Row],[ COGS ]]/Financials[[#This Row],[  Sales ]]</f>
        <v/>
      </c>
      <c r="T251" s="3">
        <f>Financials[[#This Row],[ Discounts ]]/Financials[[#This Row],[  Sales ]]</f>
        <v/>
      </c>
      <c r="U251">
        <f>Financials[[#This Row],[  Sales ]]/Financials[[#This Row],[ Units_Sold ]]</f>
        <v/>
      </c>
      <c r="V251">
        <f>Financials[[#This Row],[ Profit ]]/Financials[[#This Row],[ Units_Sold ]]</f>
        <v/>
      </c>
      <c r="W251">
        <f>IF(Financials[[#This Row],[ Profit ]]&lt;0,1,0)</f>
        <v/>
      </c>
    </row>
    <row r="252">
      <c r="A252" t="inlineStr">
        <is>
          <t>Government</t>
        </is>
      </c>
      <c r="B252" t="inlineStr">
        <is>
          <t>United States of America</t>
        </is>
      </c>
      <c r="C252" t="inlineStr">
        <is>
          <t xml:space="preserve"> Velo </t>
        </is>
      </c>
      <c r="D252" t="inlineStr">
        <is>
          <t xml:space="preserve"> Medium </t>
        </is>
      </c>
      <c r="E252" t="n">
        <v>602</v>
      </c>
      <c r="F252" s="69" t="n">
        <v>120</v>
      </c>
      <c r="G252" s="69" t="n">
        <v>350</v>
      </c>
      <c r="H252" s="69" t="n">
        <v>210700</v>
      </c>
      <c r="I252" s="5" t="n">
        <v>10535</v>
      </c>
      <c r="J252" s="69" t="n">
        <v>200165</v>
      </c>
      <c r="K252" s="69" t="n">
        <v>156520</v>
      </c>
      <c r="L252" s="69" t="n">
        <v>43645</v>
      </c>
      <c r="M252" s="1" t="n">
        <v>41645</v>
      </c>
      <c r="N252" t="n">
        <v>6</v>
      </c>
      <c r="O252" t="inlineStr">
        <is>
          <t xml:space="preserve"> June </t>
        </is>
      </c>
      <c r="P252" t="n">
        <v>2014</v>
      </c>
      <c r="Q252">
        <f>IF(Financials[[#This Row],[ Units_Sold ]]&lt;&gt;INT(Financials[[#This Row],[ Units_Sold ]]),1,0)</f>
        <v/>
      </c>
      <c r="R252" s="10">
        <f>Financials[[#This Row],[ Profit ]]/Financials[[#This Row],[  Sales ]]</f>
        <v/>
      </c>
      <c r="S252" s="2">
        <f>Financials[[#This Row],[ COGS ]]/Financials[[#This Row],[  Sales ]]</f>
        <v/>
      </c>
      <c r="T252" s="3">
        <f>Financials[[#This Row],[ Discounts ]]/Financials[[#This Row],[  Sales ]]</f>
        <v/>
      </c>
      <c r="U252">
        <f>Financials[[#This Row],[  Sales ]]/Financials[[#This Row],[ Units_Sold ]]</f>
        <v/>
      </c>
      <c r="V252">
        <f>Financials[[#This Row],[ Profit ]]/Financials[[#This Row],[ Units_Sold ]]</f>
        <v/>
      </c>
      <c r="W252">
        <f>IF(Financials[[#This Row],[ Profit ]]&lt;0,1,0)</f>
        <v/>
      </c>
    </row>
    <row r="253">
      <c r="A253" t="inlineStr">
        <is>
          <t>Government</t>
        </is>
      </c>
      <c r="B253" t="inlineStr">
        <is>
          <t>United States of America</t>
        </is>
      </c>
      <c r="C253" t="inlineStr">
        <is>
          <t xml:space="preserve"> Velo </t>
        </is>
      </c>
      <c r="D253" t="inlineStr">
        <is>
          <t xml:space="preserve"> Medium </t>
        </is>
      </c>
      <c r="E253" t="n">
        <v>2832</v>
      </c>
      <c r="F253" s="69" t="n">
        <v>120</v>
      </c>
      <c r="G253" s="69" t="n">
        <v>20</v>
      </c>
      <c r="H253" s="69" t="n">
        <v>56640</v>
      </c>
      <c r="I253" s="5" t="n">
        <v>2832</v>
      </c>
      <c r="J253" s="69" t="n">
        <v>53808</v>
      </c>
      <c r="K253" s="69" t="n">
        <v>28320</v>
      </c>
      <c r="L253" s="69" t="n">
        <v>25488</v>
      </c>
      <c r="M253" s="1" t="n">
        <v>41647</v>
      </c>
      <c r="N253" t="n">
        <v>8</v>
      </c>
      <c r="O253" t="inlineStr">
        <is>
          <t xml:space="preserve"> August </t>
        </is>
      </c>
      <c r="P253" t="n">
        <v>2014</v>
      </c>
      <c r="Q253">
        <f>IF(Financials[[#This Row],[ Units_Sold ]]&lt;&gt;INT(Financials[[#This Row],[ Units_Sold ]]),1,0)</f>
        <v/>
      </c>
      <c r="R253" s="10">
        <f>Financials[[#This Row],[ Profit ]]/Financials[[#This Row],[  Sales ]]</f>
        <v/>
      </c>
      <c r="S253" s="2">
        <f>Financials[[#This Row],[ COGS ]]/Financials[[#This Row],[  Sales ]]</f>
        <v/>
      </c>
      <c r="T253" s="3">
        <f>Financials[[#This Row],[ Discounts ]]/Financials[[#This Row],[  Sales ]]</f>
        <v/>
      </c>
      <c r="U253">
        <f>Financials[[#This Row],[  Sales ]]/Financials[[#This Row],[ Units_Sold ]]</f>
        <v/>
      </c>
      <c r="V253">
        <f>Financials[[#This Row],[ Profit ]]/Financials[[#This Row],[ Units_Sold ]]</f>
        <v/>
      </c>
      <c r="W253">
        <f>IF(Financials[[#This Row],[ Profit ]]&lt;0,1,0)</f>
        <v/>
      </c>
    </row>
    <row r="254">
      <c r="A254" t="inlineStr">
        <is>
          <t>Government</t>
        </is>
      </c>
      <c r="B254" t="inlineStr">
        <is>
          <t>France</t>
        </is>
      </c>
      <c r="C254" t="inlineStr">
        <is>
          <t xml:space="preserve"> Velo </t>
        </is>
      </c>
      <c r="D254" t="inlineStr">
        <is>
          <t xml:space="preserve"> Medium </t>
        </is>
      </c>
      <c r="E254" t="n">
        <v>1579</v>
      </c>
      <c r="F254" s="69" t="n">
        <v>120</v>
      </c>
      <c r="G254" s="69" t="n">
        <v>20</v>
      </c>
      <c r="H254" s="69" t="n">
        <v>31580</v>
      </c>
      <c r="I254" s="5" t="n">
        <v>1579</v>
      </c>
      <c r="J254" s="69" t="n">
        <v>30001</v>
      </c>
      <c r="K254" s="69" t="n">
        <v>15790</v>
      </c>
      <c r="L254" s="69" t="n">
        <v>14211</v>
      </c>
      <c r="M254" s="1" t="n">
        <v>41647</v>
      </c>
      <c r="N254" t="n">
        <v>8</v>
      </c>
      <c r="O254" t="inlineStr">
        <is>
          <t xml:space="preserve"> August </t>
        </is>
      </c>
      <c r="P254" t="n">
        <v>2014</v>
      </c>
      <c r="Q254">
        <f>IF(Financials[[#This Row],[ Units_Sold ]]&lt;&gt;INT(Financials[[#This Row],[ Units_Sold ]]),1,0)</f>
        <v/>
      </c>
      <c r="R254" s="10">
        <f>Financials[[#This Row],[ Profit ]]/Financials[[#This Row],[  Sales ]]</f>
        <v/>
      </c>
      <c r="S254" s="2">
        <f>Financials[[#This Row],[ COGS ]]/Financials[[#This Row],[  Sales ]]</f>
        <v/>
      </c>
      <c r="T254" s="3">
        <f>Financials[[#This Row],[ Discounts ]]/Financials[[#This Row],[  Sales ]]</f>
        <v/>
      </c>
      <c r="U254">
        <f>Financials[[#This Row],[  Sales ]]/Financials[[#This Row],[ Units_Sold ]]</f>
        <v/>
      </c>
      <c r="V254">
        <f>Financials[[#This Row],[ Profit ]]/Financials[[#This Row],[ Units_Sold ]]</f>
        <v/>
      </c>
      <c r="W254">
        <f>IF(Financials[[#This Row],[ Profit ]]&lt;0,1,0)</f>
        <v/>
      </c>
    </row>
    <row r="255">
      <c r="A255" t="inlineStr">
        <is>
          <t>Enterprise</t>
        </is>
      </c>
      <c r="B255" t="inlineStr">
        <is>
          <t>United States of America</t>
        </is>
      </c>
      <c r="C255" t="inlineStr">
        <is>
          <t xml:space="preserve"> Velo </t>
        </is>
      </c>
      <c r="D255" t="inlineStr">
        <is>
          <t xml:space="preserve"> Medium </t>
        </is>
      </c>
      <c r="E255" t="n">
        <v>861</v>
      </c>
      <c r="F255" s="69" t="n">
        <v>120</v>
      </c>
      <c r="G255" s="69" t="n">
        <v>125</v>
      </c>
      <c r="H255" s="69" t="n">
        <v>107625</v>
      </c>
      <c r="I255" s="5" t="n">
        <v>5381.25</v>
      </c>
      <c r="J255" s="69" t="n">
        <v>102243.75</v>
      </c>
      <c r="K255" s="69" t="n">
        <v>103320</v>
      </c>
      <c r="L255" s="69" t="n">
        <v>-1076.25</v>
      </c>
      <c r="M255" s="1" t="n">
        <v>41649</v>
      </c>
      <c r="N255" t="n">
        <v>10</v>
      </c>
      <c r="O255" t="inlineStr">
        <is>
          <t xml:space="preserve"> October </t>
        </is>
      </c>
      <c r="P255" t="n">
        <v>2014</v>
      </c>
      <c r="Q255">
        <f>IF(Financials[[#This Row],[ Units_Sold ]]&lt;&gt;INT(Financials[[#This Row],[ Units_Sold ]]),1,0)</f>
        <v/>
      </c>
      <c r="R255" s="10">
        <f>Financials[[#This Row],[ Profit ]]/Financials[[#This Row],[  Sales ]]</f>
        <v/>
      </c>
      <c r="S255" s="2">
        <f>Financials[[#This Row],[ COGS ]]/Financials[[#This Row],[  Sales ]]</f>
        <v/>
      </c>
      <c r="T255" s="3">
        <f>Financials[[#This Row],[ Discounts ]]/Financials[[#This Row],[  Sales ]]</f>
        <v/>
      </c>
      <c r="U255">
        <f>Financials[[#This Row],[  Sales ]]/Financials[[#This Row],[ Units_Sold ]]</f>
        <v/>
      </c>
      <c r="V255">
        <f>Financials[[#This Row],[ Profit ]]/Financials[[#This Row],[ Units_Sold ]]</f>
        <v/>
      </c>
      <c r="W255">
        <f>IF(Financials[[#This Row],[ Profit ]]&lt;0,1,0)</f>
        <v/>
      </c>
    </row>
    <row r="256">
      <c r="A256" t="inlineStr">
        <is>
          <t>Enterprise</t>
        </is>
      </c>
      <c r="B256" t="inlineStr">
        <is>
          <t>France</t>
        </is>
      </c>
      <c r="C256" t="inlineStr">
        <is>
          <t xml:space="preserve"> Velo </t>
        </is>
      </c>
      <c r="D256" t="inlineStr">
        <is>
          <t xml:space="preserve"> Medium </t>
        </is>
      </c>
      <c r="E256" t="n">
        <v>704</v>
      </c>
      <c r="F256" s="69" t="n">
        <v>120</v>
      </c>
      <c r="G256" s="69" t="n">
        <v>125</v>
      </c>
      <c r="H256" s="69" t="n">
        <v>88000</v>
      </c>
      <c r="I256" s="5" t="n">
        <v>4400</v>
      </c>
      <c r="J256" s="69" t="n">
        <v>83600</v>
      </c>
      <c r="K256" s="69" t="n">
        <v>84480</v>
      </c>
      <c r="L256" s="69" t="n">
        <v>-880</v>
      </c>
      <c r="M256" s="1" t="n">
        <v>41284</v>
      </c>
      <c r="N256" t="n">
        <v>10</v>
      </c>
      <c r="O256" t="inlineStr">
        <is>
          <t xml:space="preserve"> October </t>
        </is>
      </c>
      <c r="P256" t="n">
        <v>2013</v>
      </c>
      <c r="Q256">
        <f>IF(Financials[[#This Row],[ Units_Sold ]]&lt;&gt;INT(Financials[[#This Row],[ Units_Sold ]]),1,0)</f>
        <v/>
      </c>
      <c r="R256" s="10">
        <f>Financials[[#This Row],[ Profit ]]/Financials[[#This Row],[  Sales ]]</f>
        <v/>
      </c>
      <c r="S256" s="2">
        <f>Financials[[#This Row],[ COGS ]]/Financials[[#This Row],[  Sales ]]</f>
        <v/>
      </c>
      <c r="T256" s="3">
        <f>Financials[[#This Row],[ Discounts ]]/Financials[[#This Row],[  Sales ]]</f>
        <v/>
      </c>
      <c r="U256">
        <f>Financials[[#This Row],[  Sales ]]/Financials[[#This Row],[ Units_Sold ]]</f>
        <v/>
      </c>
      <c r="V256">
        <f>Financials[[#This Row],[ Profit ]]/Financials[[#This Row],[ Units_Sold ]]</f>
        <v/>
      </c>
      <c r="W256">
        <f>IF(Financials[[#This Row],[ Profit ]]&lt;0,1,0)</f>
        <v/>
      </c>
    </row>
    <row r="257">
      <c r="A257" t="inlineStr">
        <is>
          <t>Government</t>
        </is>
      </c>
      <c r="B257" t="inlineStr">
        <is>
          <t>France</t>
        </is>
      </c>
      <c r="C257" t="inlineStr">
        <is>
          <t xml:space="preserve"> Velo </t>
        </is>
      </c>
      <c r="D257" t="inlineStr">
        <is>
          <t xml:space="preserve"> Medium </t>
        </is>
      </c>
      <c r="E257" t="n">
        <v>1033</v>
      </c>
      <c r="F257" s="69" t="n">
        <v>120</v>
      </c>
      <c r="G257" s="69" t="n">
        <v>20</v>
      </c>
      <c r="H257" s="69" t="n">
        <v>20660</v>
      </c>
      <c r="I257" s="5" t="n">
        <v>1033</v>
      </c>
      <c r="J257" s="69" t="n">
        <v>19627</v>
      </c>
      <c r="K257" s="69" t="n">
        <v>10330</v>
      </c>
      <c r="L257" s="69" t="n">
        <v>9297</v>
      </c>
      <c r="M257" s="1" t="n">
        <v>41286</v>
      </c>
      <c r="N257" t="n">
        <v>12</v>
      </c>
      <c r="O257" t="inlineStr">
        <is>
          <t xml:space="preserve"> December </t>
        </is>
      </c>
      <c r="P257" t="n">
        <v>2013</v>
      </c>
      <c r="Q257">
        <f>IF(Financials[[#This Row],[ Units_Sold ]]&lt;&gt;INT(Financials[[#This Row],[ Units_Sold ]]),1,0)</f>
        <v/>
      </c>
      <c r="R257" s="10">
        <f>Financials[[#This Row],[ Profit ]]/Financials[[#This Row],[  Sales ]]</f>
        <v/>
      </c>
      <c r="S257" s="2">
        <f>Financials[[#This Row],[ COGS ]]/Financials[[#This Row],[  Sales ]]</f>
        <v/>
      </c>
      <c r="T257" s="3">
        <f>Financials[[#This Row],[ Discounts ]]/Financials[[#This Row],[  Sales ]]</f>
        <v/>
      </c>
      <c r="U257">
        <f>Financials[[#This Row],[  Sales ]]/Financials[[#This Row],[ Units_Sold ]]</f>
        <v/>
      </c>
      <c r="V257">
        <f>Financials[[#This Row],[ Profit ]]/Financials[[#This Row],[ Units_Sold ]]</f>
        <v/>
      </c>
      <c r="W257">
        <f>IF(Financials[[#This Row],[ Profit ]]&lt;0,1,0)</f>
        <v/>
      </c>
    </row>
    <row r="258">
      <c r="A258" t="inlineStr">
        <is>
          <t>Small Business</t>
        </is>
      </c>
      <c r="B258" t="inlineStr">
        <is>
          <t>Germany</t>
        </is>
      </c>
      <c r="C258" t="inlineStr">
        <is>
          <t xml:space="preserve"> Velo </t>
        </is>
      </c>
      <c r="D258" t="inlineStr">
        <is>
          <t xml:space="preserve"> Medium </t>
        </is>
      </c>
      <c r="E258" t="n">
        <v>1250</v>
      </c>
      <c r="F258" s="69" t="n">
        <v>120</v>
      </c>
      <c r="G258" s="69" t="n">
        <v>300</v>
      </c>
      <c r="H258" s="69" t="n">
        <v>375000</v>
      </c>
      <c r="I258" s="5" t="n">
        <v>18750</v>
      </c>
      <c r="J258" s="69" t="n">
        <v>356250</v>
      </c>
      <c r="K258" s="69" t="n">
        <v>312500</v>
      </c>
      <c r="L258" s="69" t="n">
        <v>43750</v>
      </c>
      <c r="M258" s="1" t="n">
        <v>41651</v>
      </c>
      <c r="N258" t="n">
        <v>12</v>
      </c>
      <c r="O258" t="inlineStr">
        <is>
          <t xml:space="preserve"> December </t>
        </is>
      </c>
      <c r="P258" t="n">
        <v>2014</v>
      </c>
      <c r="Q258">
        <f>IF(Financials[[#This Row],[ Units_Sold ]]&lt;&gt;INT(Financials[[#This Row],[ Units_Sold ]]),1,0)</f>
        <v/>
      </c>
      <c r="R258" s="10">
        <f>Financials[[#This Row],[ Profit ]]/Financials[[#This Row],[  Sales ]]</f>
        <v/>
      </c>
      <c r="S258" s="2">
        <f>Financials[[#This Row],[ COGS ]]/Financials[[#This Row],[  Sales ]]</f>
        <v/>
      </c>
      <c r="T258" s="3">
        <f>Financials[[#This Row],[ Discounts ]]/Financials[[#This Row],[  Sales ]]</f>
        <v/>
      </c>
      <c r="U258">
        <f>Financials[[#This Row],[  Sales ]]/Financials[[#This Row],[ Units_Sold ]]</f>
        <v/>
      </c>
      <c r="V258">
        <f>Financials[[#This Row],[ Profit ]]/Financials[[#This Row],[ Units_Sold ]]</f>
        <v/>
      </c>
      <c r="W258">
        <f>IF(Financials[[#This Row],[ Profit ]]&lt;0,1,0)</f>
        <v/>
      </c>
    </row>
    <row r="259">
      <c r="A259" t="inlineStr">
        <is>
          <t>Government</t>
        </is>
      </c>
      <c r="B259" t="inlineStr">
        <is>
          <t>Canada</t>
        </is>
      </c>
      <c r="C259" t="inlineStr">
        <is>
          <t xml:space="preserve"> VTT </t>
        </is>
      </c>
      <c r="D259" t="inlineStr">
        <is>
          <t xml:space="preserve"> Medium </t>
        </is>
      </c>
      <c r="E259" t="n">
        <v>1389</v>
      </c>
      <c r="F259" s="69" t="n">
        <v>250</v>
      </c>
      <c r="G259" s="69" t="n">
        <v>20</v>
      </c>
      <c r="H259" s="69" t="n">
        <v>27780</v>
      </c>
      <c r="I259" s="5" t="n">
        <v>1389</v>
      </c>
      <c r="J259" s="69" t="n">
        <v>26391</v>
      </c>
      <c r="K259" s="69" t="n">
        <v>13890</v>
      </c>
      <c r="L259" s="69" t="n">
        <v>12501</v>
      </c>
      <c r="M259" s="1" t="n">
        <v>41284</v>
      </c>
      <c r="N259" t="n">
        <v>10</v>
      </c>
      <c r="O259" t="inlineStr">
        <is>
          <t xml:space="preserve"> October </t>
        </is>
      </c>
      <c r="P259" t="n">
        <v>2013</v>
      </c>
      <c r="Q259">
        <f>IF(Financials[[#This Row],[ Units_Sold ]]&lt;&gt;INT(Financials[[#This Row],[ Units_Sold ]]),1,0)</f>
        <v/>
      </c>
      <c r="R259" s="10">
        <f>Financials[[#This Row],[ Profit ]]/Financials[[#This Row],[  Sales ]]</f>
        <v/>
      </c>
      <c r="S259" s="2">
        <f>Financials[[#This Row],[ COGS ]]/Financials[[#This Row],[  Sales ]]</f>
        <v/>
      </c>
      <c r="T259" s="3">
        <f>Financials[[#This Row],[ Discounts ]]/Financials[[#This Row],[  Sales ]]</f>
        <v/>
      </c>
      <c r="U259">
        <f>Financials[[#This Row],[  Sales ]]/Financials[[#This Row],[ Units_Sold ]]</f>
        <v/>
      </c>
      <c r="V259">
        <f>Financials[[#This Row],[ Profit ]]/Financials[[#This Row],[ Units_Sold ]]</f>
        <v/>
      </c>
      <c r="W259">
        <f>IF(Financials[[#This Row],[ Profit ]]&lt;0,1,0)</f>
        <v/>
      </c>
    </row>
    <row r="260">
      <c r="A260" t="inlineStr">
        <is>
          <t>Government</t>
        </is>
      </c>
      <c r="B260" t="inlineStr">
        <is>
          <t>United States of America</t>
        </is>
      </c>
      <c r="C260" t="inlineStr">
        <is>
          <t xml:space="preserve"> VTT </t>
        </is>
      </c>
      <c r="D260" t="inlineStr">
        <is>
          <t xml:space="preserve"> Medium </t>
        </is>
      </c>
      <c r="E260" t="n">
        <v>1265</v>
      </c>
      <c r="F260" s="69" t="n">
        <v>250</v>
      </c>
      <c r="G260" s="69" t="n">
        <v>20</v>
      </c>
      <c r="H260" s="69" t="n">
        <v>25300</v>
      </c>
      <c r="I260" s="5" t="n">
        <v>1265</v>
      </c>
      <c r="J260" s="69" t="n">
        <v>24035</v>
      </c>
      <c r="K260" s="69" t="n">
        <v>12650</v>
      </c>
      <c r="L260" s="69" t="n">
        <v>11385</v>
      </c>
      <c r="M260" s="1" t="n">
        <v>41285</v>
      </c>
      <c r="N260" t="n">
        <v>11</v>
      </c>
      <c r="O260" t="inlineStr">
        <is>
          <t xml:space="preserve"> November </t>
        </is>
      </c>
      <c r="P260" t="n">
        <v>2013</v>
      </c>
      <c r="Q260">
        <f>IF(Financials[[#This Row],[ Units_Sold ]]&lt;&gt;INT(Financials[[#This Row],[ Units_Sold ]]),1,0)</f>
        <v/>
      </c>
      <c r="R260" s="10">
        <f>Financials[[#This Row],[ Profit ]]/Financials[[#This Row],[  Sales ]]</f>
        <v/>
      </c>
      <c r="S260" s="2">
        <f>Financials[[#This Row],[ COGS ]]/Financials[[#This Row],[  Sales ]]</f>
        <v/>
      </c>
      <c r="T260" s="3">
        <f>Financials[[#This Row],[ Discounts ]]/Financials[[#This Row],[  Sales ]]</f>
        <v/>
      </c>
      <c r="U260">
        <f>Financials[[#This Row],[  Sales ]]/Financials[[#This Row],[ Units_Sold ]]</f>
        <v/>
      </c>
      <c r="V260">
        <f>Financials[[#This Row],[ Profit ]]/Financials[[#This Row],[ Units_Sold ]]</f>
        <v/>
      </c>
      <c r="W260">
        <f>IF(Financials[[#This Row],[ Profit ]]&lt;0,1,0)</f>
        <v/>
      </c>
    </row>
    <row r="261">
      <c r="A261" t="inlineStr">
        <is>
          <t>Government</t>
        </is>
      </c>
      <c r="B261" t="inlineStr">
        <is>
          <t>Germany</t>
        </is>
      </c>
      <c r="C261" t="inlineStr">
        <is>
          <t xml:space="preserve"> VTT </t>
        </is>
      </c>
      <c r="D261" t="inlineStr">
        <is>
          <t xml:space="preserve"> Medium </t>
        </is>
      </c>
      <c r="E261" t="n">
        <v>2297</v>
      </c>
      <c r="F261" s="69" t="n">
        <v>250</v>
      </c>
      <c r="G261" s="69" t="n">
        <v>20</v>
      </c>
      <c r="H261" s="69" t="n">
        <v>45940</v>
      </c>
      <c r="I261" s="5" t="n">
        <v>2297</v>
      </c>
      <c r="J261" s="69" t="n">
        <v>43643</v>
      </c>
      <c r="K261" s="69" t="n">
        <v>22970</v>
      </c>
      <c r="L261" s="69" t="n">
        <v>20673</v>
      </c>
      <c r="M261" s="1" t="n">
        <v>41285</v>
      </c>
      <c r="N261" t="n">
        <v>11</v>
      </c>
      <c r="O261" t="inlineStr">
        <is>
          <t xml:space="preserve"> November </t>
        </is>
      </c>
      <c r="P261" t="n">
        <v>2013</v>
      </c>
      <c r="Q261">
        <f>IF(Financials[[#This Row],[ Units_Sold ]]&lt;&gt;INT(Financials[[#This Row],[ Units_Sold ]]),1,0)</f>
        <v/>
      </c>
      <c r="R261" s="10">
        <f>Financials[[#This Row],[ Profit ]]/Financials[[#This Row],[  Sales ]]</f>
        <v/>
      </c>
      <c r="S261" s="2">
        <f>Financials[[#This Row],[ COGS ]]/Financials[[#This Row],[  Sales ]]</f>
        <v/>
      </c>
      <c r="T261" s="3">
        <f>Financials[[#This Row],[ Discounts ]]/Financials[[#This Row],[  Sales ]]</f>
        <v/>
      </c>
      <c r="U261">
        <f>Financials[[#This Row],[  Sales ]]/Financials[[#This Row],[ Units_Sold ]]</f>
        <v/>
      </c>
      <c r="V261">
        <f>Financials[[#This Row],[ Profit ]]/Financials[[#This Row],[ Units_Sold ]]</f>
        <v/>
      </c>
      <c r="W261">
        <f>IF(Financials[[#This Row],[ Profit ]]&lt;0,1,0)</f>
        <v/>
      </c>
    </row>
    <row r="262">
      <c r="A262" t="inlineStr">
        <is>
          <t>Government</t>
        </is>
      </c>
      <c r="B262" t="inlineStr">
        <is>
          <t>United States of America</t>
        </is>
      </c>
      <c r="C262" t="inlineStr">
        <is>
          <t xml:space="preserve"> VTT </t>
        </is>
      </c>
      <c r="D262" t="inlineStr">
        <is>
          <t xml:space="preserve"> Medium </t>
        </is>
      </c>
      <c r="E262" t="n">
        <v>2663</v>
      </c>
      <c r="F262" s="69" t="n">
        <v>250</v>
      </c>
      <c r="G262" s="69" t="n">
        <v>20</v>
      </c>
      <c r="H262" s="69" t="n">
        <v>53260</v>
      </c>
      <c r="I262" s="5" t="n">
        <v>2663</v>
      </c>
      <c r="J262" s="69" t="n">
        <v>50597</v>
      </c>
      <c r="K262" s="69" t="n">
        <v>26630</v>
      </c>
      <c r="L262" s="69" t="n">
        <v>23967</v>
      </c>
      <c r="M262" s="1" t="n">
        <v>41651</v>
      </c>
      <c r="N262" t="n">
        <v>12</v>
      </c>
      <c r="O262" t="inlineStr">
        <is>
          <t xml:space="preserve"> December </t>
        </is>
      </c>
      <c r="P262" t="n">
        <v>2014</v>
      </c>
      <c r="Q262">
        <f>IF(Financials[[#This Row],[ Units_Sold ]]&lt;&gt;INT(Financials[[#This Row],[ Units_Sold ]]),1,0)</f>
        <v/>
      </c>
      <c r="R262" s="10">
        <f>Financials[[#This Row],[ Profit ]]/Financials[[#This Row],[  Sales ]]</f>
        <v/>
      </c>
      <c r="S262" s="2">
        <f>Financials[[#This Row],[ COGS ]]/Financials[[#This Row],[  Sales ]]</f>
        <v/>
      </c>
      <c r="T262" s="3">
        <f>Financials[[#This Row],[ Discounts ]]/Financials[[#This Row],[  Sales ]]</f>
        <v/>
      </c>
      <c r="U262">
        <f>Financials[[#This Row],[  Sales ]]/Financials[[#This Row],[ Units_Sold ]]</f>
        <v/>
      </c>
      <c r="V262">
        <f>Financials[[#This Row],[ Profit ]]/Financials[[#This Row],[ Units_Sold ]]</f>
        <v/>
      </c>
      <c r="W262">
        <f>IF(Financials[[#This Row],[ Profit ]]&lt;0,1,0)</f>
        <v/>
      </c>
    </row>
    <row r="263">
      <c r="A263" t="inlineStr">
        <is>
          <t>Government</t>
        </is>
      </c>
      <c r="B263" t="inlineStr">
        <is>
          <t>United States of America</t>
        </is>
      </c>
      <c r="C263" t="inlineStr">
        <is>
          <t xml:space="preserve"> VTT </t>
        </is>
      </c>
      <c r="D263" t="inlineStr">
        <is>
          <t xml:space="preserve"> Medium </t>
        </is>
      </c>
      <c r="E263" t="n">
        <v>570</v>
      </c>
      <c r="F263" s="69" t="n">
        <v>250</v>
      </c>
      <c r="G263" s="69" t="n">
        <v>7</v>
      </c>
      <c r="H263" s="69" t="n">
        <v>3990</v>
      </c>
      <c r="I263" s="5" t="n">
        <v>199.5</v>
      </c>
      <c r="J263" s="69" t="n">
        <v>3790.5</v>
      </c>
      <c r="K263" s="69" t="n">
        <v>2850</v>
      </c>
      <c r="L263" s="69" t="n">
        <v>940.5</v>
      </c>
      <c r="M263" s="1" t="n">
        <v>41651</v>
      </c>
      <c r="N263" t="n">
        <v>12</v>
      </c>
      <c r="O263" t="inlineStr">
        <is>
          <t xml:space="preserve"> December </t>
        </is>
      </c>
      <c r="P263" t="n">
        <v>2014</v>
      </c>
      <c r="Q263">
        <f>IF(Financials[[#This Row],[ Units_Sold ]]&lt;&gt;INT(Financials[[#This Row],[ Units_Sold ]]),1,0)</f>
        <v/>
      </c>
      <c r="R263" s="10">
        <f>Financials[[#This Row],[ Profit ]]/Financials[[#This Row],[  Sales ]]</f>
        <v/>
      </c>
      <c r="S263" s="2">
        <f>Financials[[#This Row],[ COGS ]]/Financials[[#This Row],[  Sales ]]</f>
        <v/>
      </c>
      <c r="T263" s="3">
        <f>Financials[[#This Row],[ Discounts ]]/Financials[[#This Row],[  Sales ]]</f>
        <v/>
      </c>
      <c r="U263">
        <f>Financials[[#This Row],[  Sales ]]/Financials[[#This Row],[ Units_Sold ]]</f>
        <v/>
      </c>
      <c r="V263">
        <f>Financials[[#This Row],[ Profit ]]/Financials[[#This Row],[ Units_Sold ]]</f>
        <v/>
      </c>
      <c r="W263">
        <f>IF(Financials[[#This Row],[ Profit ]]&lt;0,1,0)</f>
        <v/>
      </c>
    </row>
    <row r="264">
      <c r="A264" t="inlineStr">
        <is>
          <t>Government</t>
        </is>
      </c>
      <c r="B264" t="inlineStr">
        <is>
          <t>France</t>
        </is>
      </c>
      <c r="C264" t="inlineStr">
        <is>
          <t xml:space="preserve"> VTT </t>
        </is>
      </c>
      <c r="D264" t="inlineStr">
        <is>
          <t xml:space="preserve"> Medium </t>
        </is>
      </c>
      <c r="E264" t="n">
        <v>2487</v>
      </c>
      <c r="F264" s="69" t="n">
        <v>250</v>
      </c>
      <c r="G264" s="69" t="n">
        <v>7</v>
      </c>
      <c r="H264" s="69" t="n">
        <v>17409</v>
      </c>
      <c r="I264" s="5" t="n">
        <v>870.45</v>
      </c>
      <c r="J264" s="69" t="n">
        <v>16538.55</v>
      </c>
      <c r="K264" s="69" t="n">
        <v>12435</v>
      </c>
      <c r="L264" s="69" t="n">
        <v>4103.55</v>
      </c>
      <c r="M264" s="1" t="n">
        <v>41651</v>
      </c>
      <c r="N264" t="n">
        <v>12</v>
      </c>
      <c r="O264" t="inlineStr">
        <is>
          <t xml:space="preserve"> December </t>
        </is>
      </c>
      <c r="P264" t="n">
        <v>2014</v>
      </c>
      <c r="Q264">
        <f>IF(Financials[[#This Row],[ Units_Sold ]]&lt;&gt;INT(Financials[[#This Row],[ Units_Sold ]]),1,0)</f>
        <v/>
      </c>
      <c r="R264" s="10">
        <f>Financials[[#This Row],[ Profit ]]/Financials[[#This Row],[  Sales ]]</f>
        <v/>
      </c>
      <c r="S264" s="2">
        <f>Financials[[#This Row],[ COGS ]]/Financials[[#This Row],[  Sales ]]</f>
        <v/>
      </c>
      <c r="T264" s="3">
        <f>Financials[[#This Row],[ Discounts ]]/Financials[[#This Row],[  Sales ]]</f>
        <v/>
      </c>
      <c r="U264">
        <f>Financials[[#This Row],[  Sales ]]/Financials[[#This Row],[ Units_Sold ]]</f>
        <v/>
      </c>
      <c r="V264">
        <f>Financials[[#This Row],[ Profit ]]/Financials[[#This Row],[ Units_Sold ]]</f>
        <v/>
      </c>
      <c r="W264">
        <f>IF(Financials[[#This Row],[ Profit ]]&lt;0,1,0)</f>
        <v/>
      </c>
    </row>
    <row r="265">
      <c r="A265" t="inlineStr">
        <is>
          <t>Government</t>
        </is>
      </c>
      <c r="B265" t="inlineStr">
        <is>
          <t>Germany</t>
        </is>
      </c>
      <c r="C265" t="inlineStr">
        <is>
          <t xml:space="preserve"> Amarilla </t>
        </is>
      </c>
      <c r="D265" t="inlineStr">
        <is>
          <t xml:space="preserve"> Medium </t>
        </is>
      </c>
      <c r="E265" t="n">
        <v>1350</v>
      </c>
      <c r="F265" s="69" t="n">
        <v>260</v>
      </c>
      <c r="G265" s="69" t="n">
        <v>350</v>
      </c>
      <c r="H265" s="69" t="n">
        <v>472500</v>
      </c>
      <c r="I265" s="5" t="n">
        <v>23625</v>
      </c>
      <c r="J265" s="69" t="n">
        <v>448875</v>
      </c>
      <c r="K265" s="69" t="n">
        <v>351000</v>
      </c>
      <c r="L265" s="69" t="n">
        <v>97875</v>
      </c>
      <c r="M265" s="1" t="n">
        <v>41641</v>
      </c>
      <c r="N265" t="n">
        <v>2</v>
      </c>
      <c r="O265" t="inlineStr">
        <is>
          <t xml:space="preserve"> February </t>
        </is>
      </c>
      <c r="P265" t="n">
        <v>2014</v>
      </c>
      <c r="Q265">
        <f>IF(Financials[[#This Row],[ Units_Sold ]]&lt;&gt;INT(Financials[[#This Row],[ Units_Sold ]]),1,0)</f>
        <v/>
      </c>
      <c r="R265" s="10">
        <f>Financials[[#This Row],[ Profit ]]/Financials[[#This Row],[  Sales ]]</f>
        <v/>
      </c>
      <c r="S265" s="2">
        <f>Financials[[#This Row],[ COGS ]]/Financials[[#This Row],[  Sales ]]</f>
        <v/>
      </c>
      <c r="T265" s="3">
        <f>Financials[[#This Row],[ Discounts ]]/Financials[[#This Row],[  Sales ]]</f>
        <v/>
      </c>
      <c r="U265">
        <f>Financials[[#This Row],[  Sales ]]/Financials[[#This Row],[ Units_Sold ]]</f>
        <v/>
      </c>
      <c r="V265">
        <f>Financials[[#This Row],[ Profit ]]/Financials[[#This Row],[ Units_Sold ]]</f>
        <v/>
      </c>
      <c r="W265">
        <f>IF(Financials[[#This Row],[ Profit ]]&lt;0,1,0)</f>
        <v/>
      </c>
    </row>
    <row r="266">
      <c r="A266" t="inlineStr">
        <is>
          <t>Government</t>
        </is>
      </c>
      <c r="B266" t="inlineStr">
        <is>
          <t>Canada</t>
        </is>
      </c>
      <c r="C266" t="inlineStr">
        <is>
          <t xml:space="preserve"> Amarilla </t>
        </is>
      </c>
      <c r="D266" t="inlineStr">
        <is>
          <t xml:space="preserve"> Medium </t>
        </is>
      </c>
      <c r="E266" t="n">
        <v>552</v>
      </c>
      <c r="F266" s="69" t="n">
        <v>260</v>
      </c>
      <c r="G266" s="69" t="n">
        <v>350</v>
      </c>
      <c r="H266" s="69" t="n">
        <v>193200</v>
      </c>
      <c r="I266" s="5" t="n">
        <v>9660</v>
      </c>
      <c r="J266" s="69" t="n">
        <v>183540</v>
      </c>
      <c r="K266" s="69" t="n">
        <v>143520</v>
      </c>
      <c r="L266" s="69" t="n">
        <v>40020</v>
      </c>
      <c r="M266" s="1" t="n">
        <v>41647</v>
      </c>
      <c r="N266" t="n">
        <v>8</v>
      </c>
      <c r="O266" t="inlineStr">
        <is>
          <t xml:space="preserve"> August </t>
        </is>
      </c>
      <c r="P266" t="n">
        <v>2014</v>
      </c>
      <c r="Q266">
        <f>IF(Financials[[#This Row],[ Units_Sold ]]&lt;&gt;INT(Financials[[#This Row],[ Units_Sold ]]),1,0)</f>
        <v/>
      </c>
      <c r="R266" s="10">
        <f>Financials[[#This Row],[ Profit ]]/Financials[[#This Row],[  Sales ]]</f>
        <v/>
      </c>
      <c r="S266" s="2">
        <f>Financials[[#This Row],[ COGS ]]/Financials[[#This Row],[  Sales ]]</f>
        <v/>
      </c>
      <c r="T266" s="3">
        <f>Financials[[#This Row],[ Discounts ]]/Financials[[#This Row],[  Sales ]]</f>
        <v/>
      </c>
      <c r="U266">
        <f>Financials[[#This Row],[  Sales ]]/Financials[[#This Row],[ Units_Sold ]]</f>
        <v/>
      </c>
      <c r="V266">
        <f>Financials[[#This Row],[ Profit ]]/Financials[[#This Row],[ Units_Sold ]]</f>
        <v/>
      </c>
      <c r="W266">
        <f>IF(Financials[[#This Row],[ Profit ]]&lt;0,1,0)</f>
        <v/>
      </c>
    </row>
    <row r="267">
      <c r="A267" t="inlineStr">
        <is>
          <t>Government</t>
        </is>
      </c>
      <c r="B267" t="inlineStr">
        <is>
          <t>Canada</t>
        </is>
      </c>
      <c r="C267" t="inlineStr">
        <is>
          <t xml:space="preserve"> Amarilla </t>
        </is>
      </c>
      <c r="D267" t="inlineStr">
        <is>
          <t xml:space="preserve"> Medium </t>
        </is>
      </c>
      <c r="E267" t="n">
        <v>1228</v>
      </c>
      <c r="F267" s="69" t="n">
        <v>260</v>
      </c>
      <c r="G267" s="69" t="n">
        <v>350</v>
      </c>
      <c r="H267" s="69" t="n">
        <v>429800</v>
      </c>
      <c r="I267" s="5" t="n">
        <v>21490</v>
      </c>
      <c r="J267" s="69" t="n">
        <v>408310</v>
      </c>
      <c r="K267" s="69" t="n">
        <v>319280</v>
      </c>
      <c r="L267" s="69" t="n">
        <v>89030</v>
      </c>
      <c r="M267" s="1" t="n">
        <v>41284</v>
      </c>
      <c r="N267" t="n">
        <v>10</v>
      </c>
      <c r="O267" t="inlineStr">
        <is>
          <t xml:space="preserve"> October </t>
        </is>
      </c>
      <c r="P267" t="n">
        <v>2013</v>
      </c>
      <c r="Q267">
        <f>IF(Financials[[#This Row],[ Units_Sold ]]&lt;&gt;INT(Financials[[#This Row],[ Units_Sold ]]),1,0)</f>
        <v/>
      </c>
      <c r="R267" s="10">
        <f>Financials[[#This Row],[ Profit ]]/Financials[[#This Row],[  Sales ]]</f>
        <v/>
      </c>
      <c r="S267" s="2">
        <f>Financials[[#This Row],[ COGS ]]/Financials[[#This Row],[  Sales ]]</f>
        <v/>
      </c>
      <c r="T267" s="3">
        <f>Financials[[#This Row],[ Discounts ]]/Financials[[#This Row],[  Sales ]]</f>
        <v/>
      </c>
      <c r="U267">
        <f>Financials[[#This Row],[  Sales ]]/Financials[[#This Row],[ Units_Sold ]]</f>
        <v/>
      </c>
      <c r="V267">
        <f>Financials[[#This Row],[ Profit ]]/Financials[[#This Row],[ Units_Sold ]]</f>
        <v/>
      </c>
      <c r="W267">
        <f>IF(Financials[[#This Row],[ Profit ]]&lt;0,1,0)</f>
        <v/>
      </c>
    </row>
    <row r="268">
      <c r="A268" t="inlineStr">
        <is>
          <t>Small Business</t>
        </is>
      </c>
      <c r="B268" t="inlineStr">
        <is>
          <t>Germany</t>
        </is>
      </c>
      <c r="C268" t="inlineStr">
        <is>
          <t xml:space="preserve"> Amarilla </t>
        </is>
      </c>
      <c r="D268" t="inlineStr">
        <is>
          <t xml:space="preserve"> Medium </t>
        </is>
      </c>
      <c r="E268" t="n">
        <v>1250</v>
      </c>
      <c r="F268" s="69" t="n">
        <v>260</v>
      </c>
      <c r="G268" s="69" t="n">
        <v>300</v>
      </c>
      <c r="H268" s="69" t="n">
        <v>375000</v>
      </c>
      <c r="I268" s="5" t="n">
        <v>18750</v>
      </c>
      <c r="J268" s="69" t="n">
        <v>356250</v>
      </c>
      <c r="K268" s="69" t="n">
        <v>312500</v>
      </c>
      <c r="L268" s="69" t="n">
        <v>43750</v>
      </c>
      <c r="M268" s="1" t="n">
        <v>41651</v>
      </c>
      <c r="N268" t="n">
        <v>12</v>
      </c>
      <c r="O268" t="inlineStr">
        <is>
          <t xml:space="preserve"> December </t>
        </is>
      </c>
      <c r="P268" t="n">
        <v>2014</v>
      </c>
      <c r="Q268">
        <f>IF(Financials[[#This Row],[ Units_Sold ]]&lt;&gt;INT(Financials[[#This Row],[ Units_Sold ]]),1,0)</f>
        <v/>
      </c>
      <c r="R268" s="10">
        <f>Financials[[#This Row],[ Profit ]]/Financials[[#This Row],[  Sales ]]</f>
        <v/>
      </c>
      <c r="S268" s="2">
        <f>Financials[[#This Row],[ COGS ]]/Financials[[#This Row],[  Sales ]]</f>
        <v/>
      </c>
      <c r="T268" s="3">
        <f>Financials[[#This Row],[ Discounts ]]/Financials[[#This Row],[  Sales ]]</f>
        <v/>
      </c>
      <c r="U268">
        <f>Financials[[#This Row],[  Sales ]]/Financials[[#This Row],[ Units_Sold ]]</f>
        <v/>
      </c>
      <c r="V268">
        <f>Financials[[#This Row],[ Profit ]]/Financials[[#This Row],[ Units_Sold ]]</f>
        <v/>
      </c>
      <c r="W268">
        <f>IF(Financials[[#This Row],[ Profit ]]&lt;0,1,0)</f>
        <v/>
      </c>
    </row>
    <row r="269">
      <c r="A269" t="inlineStr">
        <is>
          <t>Midmarket</t>
        </is>
      </c>
      <c r="B269" t="inlineStr">
        <is>
          <t>France</t>
        </is>
      </c>
      <c r="C269" t="inlineStr">
        <is>
          <t xml:space="preserve"> Paseo </t>
        </is>
      </c>
      <c r="D269" t="inlineStr">
        <is>
          <t xml:space="preserve"> Medium </t>
        </is>
      </c>
      <c r="E269" t="n">
        <v>3801</v>
      </c>
      <c r="F269" s="69" t="n">
        <v>10</v>
      </c>
      <c r="G269" s="69" t="n">
        <v>15</v>
      </c>
      <c r="H269" s="69" t="n">
        <v>57015</v>
      </c>
      <c r="I269" s="5" t="n">
        <v>3420.9</v>
      </c>
      <c r="J269" s="69" t="n">
        <v>53594.1</v>
      </c>
      <c r="K269" s="69" t="n">
        <v>38010</v>
      </c>
      <c r="L269" s="69" t="n">
        <v>15584.1</v>
      </c>
      <c r="M269" s="1" t="n">
        <v>41643</v>
      </c>
      <c r="N269" t="n">
        <v>4</v>
      </c>
      <c r="O269" t="inlineStr">
        <is>
          <t xml:space="preserve"> April </t>
        </is>
      </c>
      <c r="P269" t="n">
        <v>2014</v>
      </c>
      <c r="Q269">
        <f>IF(Financials[[#This Row],[ Units_Sold ]]&lt;&gt;INT(Financials[[#This Row],[ Units_Sold ]]),1,0)</f>
        <v/>
      </c>
      <c r="R269" s="10">
        <f>Financials[[#This Row],[ Profit ]]/Financials[[#This Row],[  Sales ]]</f>
        <v/>
      </c>
      <c r="S269" s="2">
        <f>Financials[[#This Row],[ COGS ]]/Financials[[#This Row],[  Sales ]]</f>
        <v/>
      </c>
      <c r="T269" s="3">
        <f>Financials[[#This Row],[ Discounts ]]/Financials[[#This Row],[  Sales ]]</f>
        <v/>
      </c>
      <c r="U269">
        <f>Financials[[#This Row],[  Sales ]]/Financials[[#This Row],[ Units_Sold ]]</f>
        <v/>
      </c>
      <c r="V269">
        <f>Financials[[#This Row],[ Profit ]]/Financials[[#This Row],[ Units_Sold ]]</f>
        <v/>
      </c>
      <c r="W269">
        <f>IF(Financials[[#This Row],[ Profit ]]&lt;0,1,0)</f>
        <v/>
      </c>
    </row>
    <row r="270">
      <c r="A270" t="inlineStr">
        <is>
          <t>Government</t>
        </is>
      </c>
      <c r="B270" t="inlineStr">
        <is>
          <t>United States of America</t>
        </is>
      </c>
      <c r="C270" t="inlineStr">
        <is>
          <t xml:space="preserve"> Carretera </t>
        </is>
      </c>
      <c r="D270" t="inlineStr">
        <is>
          <t xml:space="preserve"> Medium </t>
        </is>
      </c>
      <c r="E270" t="n">
        <v>1117.5</v>
      </c>
      <c r="F270" s="69" t="n">
        <v>3</v>
      </c>
      <c r="G270" s="69" t="n">
        <v>20</v>
      </c>
      <c r="H270" s="69" t="n">
        <v>22350</v>
      </c>
      <c r="I270" s="5" t="n">
        <v>1341</v>
      </c>
      <c r="J270" s="69" t="n">
        <v>21009</v>
      </c>
      <c r="K270" s="69" t="n">
        <v>11175</v>
      </c>
      <c r="L270" s="69" t="n">
        <v>9834</v>
      </c>
      <c r="M270" s="1" t="n">
        <v>41640</v>
      </c>
      <c r="N270" t="n">
        <v>1</v>
      </c>
      <c r="O270" t="inlineStr">
        <is>
          <t xml:space="preserve"> January </t>
        </is>
      </c>
      <c r="P270" t="n">
        <v>2014</v>
      </c>
      <c r="Q270">
        <f>IF(Financials[[#This Row],[ Units_Sold ]]&lt;&gt;INT(Financials[[#This Row],[ Units_Sold ]]),1,0)</f>
        <v/>
      </c>
      <c r="R270" s="10">
        <f>Financials[[#This Row],[ Profit ]]/Financials[[#This Row],[  Sales ]]</f>
        <v/>
      </c>
      <c r="S270" s="2">
        <f>Financials[[#This Row],[ COGS ]]/Financials[[#This Row],[  Sales ]]</f>
        <v/>
      </c>
      <c r="T270" s="3">
        <f>Financials[[#This Row],[ Discounts ]]/Financials[[#This Row],[  Sales ]]</f>
        <v/>
      </c>
      <c r="U270">
        <f>Financials[[#This Row],[  Sales ]]/Financials[[#This Row],[ Units_Sold ]]</f>
        <v/>
      </c>
      <c r="V270">
        <f>Financials[[#This Row],[ Profit ]]/Financials[[#This Row],[ Units_Sold ]]</f>
        <v/>
      </c>
      <c r="W270">
        <f>IF(Financials[[#This Row],[ Profit ]]&lt;0,1,0)</f>
        <v/>
      </c>
    </row>
    <row r="271">
      <c r="A271" t="inlineStr">
        <is>
          <t>Midmarket</t>
        </is>
      </c>
      <c r="B271" t="inlineStr">
        <is>
          <t>Canada</t>
        </is>
      </c>
      <c r="C271" t="inlineStr">
        <is>
          <t xml:space="preserve"> Carretera </t>
        </is>
      </c>
      <c r="D271" t="inlineStr">
        <is>
          <t xml:space="preserve"> Medium </t>
        </is>
      </c>
      <c r="E271" t="n">
        <v>2844</v>
      </c>
      <c r="F271" s="69" t="n">
        <v>3</v>
      </c>
      <c r="G271" s="69" t="n">
        <v>15</v>
      </c>
      <c r="H271" s="69" t="n">
        <v>42660</v>
      </c>
      <c r="I271" s="5" t="n">
        <v>2559.6</v>
      </c>
      <c r="J271" s="69" t="n">
        <v>40100.4</v>
      </c>
      <c r="K271" s="69" t="n">
        <v>28440</v>
      </c>
      <c r="L271" s="69" t="n">
        <v>11660.4</v>
      </c>
      <c r="M271" s="1" t="n">
        <v>41645</v>
      </c>
      <c r="N271" t="n">
        <v>6</v>
      </c>
      <c r="O271" t="inlineStr">
        <is>
          <t xml:space="preserve"> June </t>
        </is>
      </c>
      <c r="P271" t="n">
        <v>2014</v>
      </c>
      <c r="Q271">
        <f>IF(Financials[[#This Row],[ Units_Sold ]]&lt;&gt;INT(Financials[[#This Row],[ Units_Sold ]]),1,0)</f>
        <v/>
      </c>
      <c r="R271" s="10">
        <f>Financials[[#This Row],[ Profit ]]/Financials[[#This Row],[  Sales ]]</f>
        <v/>
      </c>
      <c r="S271" s="2">
        <f>Financials[[#This Row],[ COGS ]]/Financials[[#This Row],[  Sales ]]</f>
        <v/>
      </c>
      <c r="T271" s="3">
        <f>Financials[[#This Row],[ Discounts ]]/Financials[[#This Row],[  Sales ]]</f>
        <v/>
      </c>
      <c r="U271">
        <f>Financials[[#This Row],[  Sales ]]/Financials[[#This Row],[ Units_Sold ]]</f>
        <v/>
      </c>
      <c r="V271">
        <f>Financials[[#This Row],[ Profit ]]/Financials[[#This Row],[ Units_Sold ]]</f>
        <v/>
      </c>
      <c r="W271">
        <f>IF(Financials[[#This Row],[ Profit ]]&lt;0,1,0)</f>
        <v/>
      </c>
    </row>
    <row r="272">
      <c r="A272" t="inlineStr">
        <is>
          <t>Channel Partners</t>
        </is>
      </c>
      <c r="B272" t="inlineStr">
        <is>
          <t>Mexico</t>
        </is>
      </c>
      <c r="C272" t="inlineStr">
        <is>
          <t xml:space="preserve"> Carretera </t>
        </is>
      </c>
      <c r="D272" t="inlineStr">
        <is>
          <t xml:space="preserve"> Medium </t>
        </is>
      </c>
      <c r="E272" t="n">
        <v>562</v>
      </c>
      <c r="F272" s="69" t="n">
        <v>3</v>
      </c>
      <c r="G272" s="69" t="n">
        <v>12</v>
      </c>
      <c r="H272" s="69" t="n">
        <v>6744</v>
      </c>
      <c r="I272" s="5" t="n">
        <v>404.64</v>
      </c>
      <c r="J272" s="69" t="n">
        <v>6339.36</v>
      </c>
      <c r="K272" s="69" t="n">
        <v>1686</v>
      </c>
      <c r="L272" s="69" t="n">
        <v>4653.36</v>
      </c>
      <c r="M272" s="1" t="n">
        <v>41648</v>
      </c>
      <c r="N272" t="n">
        <v>9</v>
      </c>
      <c r="O272" t="inlineStr">
        <is>
          <t xml:space="preserve"> September </t>
        </is>
      </c>
      <c r="P272" t="n">
        <v>2014</v>
      </c>
      <c r="Q272">
        <f>IF(Financials[[#This Row],[ Units_Sold ]]&lt;&gt;INT(Financials[[#This Row],[ Units_Sold ]]),1,0)</f>
        <v/>
      </c>
      <c r="R272" s="10">
        <f>Financials[[#This Row],[ Profit ]]/Financials[[#This Row],[  Sales ]]</f>
        <v/>
      </c>
      <c r="S272" s="2">
        <f>Financials[[#This Row],[ COGS ]]/Financials[[#This Row],[  Sales ]]</f>
        <v/>
      </c>
      <c r="T272" s="3">
        <f>Financials[[#This Row],[ Discounts ]]/Financials[[#This Row],[  Sales ]]</f>
        <v/>
      </c>
      <c r="U272">
        <f>Financials[[#This Row],[  Sales ]]/Financials[[#This Row],[ Units_Sold ]]</f>
        <v/>
      </c>
      <c r="V272">
        <f>Financials[[#This Row],[ Profit ]]/Financials[[#This Row],[ Units_Sold ]]</f>
        <v/>
      </c>
      <c r="W272">
        <f>IF(Financials[[#This Row],[ Profit ]]&lt;0,1,0)</f>
        <v/>
      </c>
    </row>
    <row r="273">
      <c r="A273" t="inlineStr">
        <is>
          <t>Channel Partners</t>
        </is>
      </c>
      <c r="B273" t="inlineStr">
        <is>
          <t>Canada</t>
        </is>
      </c>
      <c r="C273" t="inlineStr">
        <is>
          <t xml:space="preserve"> Carretera </t>
        </is>
      </c>
      <c r="D273" t="inlineStr">
        <is>
          <t xml:space="preserve"> Medium </t>
        </is>
      </c>
      <c r="E273" t="n">
        <v>2299</v>
      </c>
      <c r="F273" s="69" t="n">
        <v>3</v>
      </c>
      <c r="G273" s="69" t="n">
        <v>12</v>
      </c>
      <c r="H273" s="69" t="n">
        <v>27588</v>
      </c>
      <c r="I273" s="5" t="n">
        <v>1655.28</v>
      </c>
      <c r="J273" s="69" t="n">
        <v>25932.72</v>
      </c>
      <c r="K273" s="69" t="n">
        <v>6897</v>
      </c>
      <c r="L273" s="69" t="n">
        <v>19035.72</v>
      </c>
      <c r="M273" s="1" t="n">
        <v>41284</v>
      </c>
      <c r="N273" t="n">
        <v>10</v>
      </c>
      <c r="O273" t="inlineStr">
        <is>
          <t xml:space="preserve"> October </t>
        </is>
      </c>
      <c r="P273" t="n">
        <v>2013</v>
      </c>
      <c r="Q273">
        <f>IF(Financials[[#This Row],[ Units_Sold ]]&lt;&gt;INT(Financials[[#This Row],[ Units_Sold ]]),1,0)</f>
        <v/>
      </c>
      <c r="R273" s="10">
        <f>Financials[[#This Row],[ Profit ]]/Financials[[#This Row],[  Sales ]]</f>
        <v/>
      </c>
      <c r="S273" s="2">
        <f>Financials[[#This Row],[ COGS ]]/Financials[[#This Row],[  Sales ]]</f>
        <v/>
      </c>
      <c r="T273" s="3">
        <f>Financials[[#This Row],[ Discounts ]]/Financials[[#This Row],[  Sales ]]</f>
        <v/>
      </c>
      <c r="U273">
        <f>Financials[[#This Row],[  Sales ]]/Financials[[#This Row],[ Units_Sold ]]</f>
        <v/>
      </c>
      <c r="V273">
        <f>Financials[[#This Row],[ Profit ]]/Financials[[#This Row],[ Units_Sold ]]</f>
        <v/>
      </c>
      <c r="W273">
        <f>IF(Financials[[#This Row],[ Profit ]]&lt;0,1,0)</f>
        <v/>
      </c>
    </row>
    <row r="274">
      <c r="A274" t="inlineStr">
        <is>
          <t>Midmarket</t>
        </is>
      </c>
      <c r="B274" t="inlineStr">
        <is>
          <t>United States of America</t>
        </is>
      </c>
      <c r="C274" t="inlineStr">
        <is>
          <t xml:space="preserve"> Carretera </t>
        </is>
      </c>
      <c r="D274" t="inlineStr">
        <is>
          <t xml:space="preserve"> Medium </t>
        </is>
      </c>
      <c r="E274" t="n">
        <v>2030</v>
      </c>
      <c r="F274" s="69" t="n">
        <v>3</v>
      </c>
      <c r="G274" s="69" t="n">
        <v>15</v>
      </c>
      <c r="H274" s="69" t="n">
        <v>30450</v>
      </c>
      <c r="I274" s="5" t="n">
        <v>1827</v>
      </c>
      <c r="J274" s="69" t="n">
        <v>28623</v>
      </c>
      <c r="K274" s="69" t="n">
        <v>20300</v>
      </c>
      <c r="L274" s="69" t="n">
        <v>8323</v>
      </c>
      <c r="M274" s="1" t="n">
        <v>41650</v>
      </c>
      <c r="N274" t="n">
        <v>11</v>
      </c>
      <c r="O274" t="inlineStr">
        <is>
          <t xml:space="preserve"> November </t>
        </is>
      </c>
      <c r="P274" t="n">
        <v>2014</v>
      </c>
      <c r="Q274">
        <f>IF(Financials[[#This Row],[ Units_Sold ]]&lt;&gt;INT(Financials[[#This Row],[ Units_Sold ]]),1,0)</f>
        <v/>
      </c>
      <c r="R274" s="10">
        <f>Financials[[#This Row],[ Profit ]]/Financials[[#This Row],[  Sales ]]</f>
        <v/>
      </c>
      <c r="S274" s="2">
        <f>Financials[[#This Row],[ COGS ]]/Financials[[#This Row],[  Sales ]]</f>
        <v/>
      </c>
      <c r="T274" s="3">
        <f>Financials[[#This Row],[ Discounts ]]/Financials[[#This Row],[  Sales ]]</f>
        <v/>
      </c>
      <c r="U274">
        <f>Financials[[#This Row],[  Sales ]]/Financials[[#This Row],[ Units_Sold ]]</f>
        <v/>
      </c>
      <c r="V274">
        <f>Financials[[#This Row],[ Profit ]]/Financials[[#This Row],[ Units_Sold ]]</f>
        <v/>
      </c>
      <c r="W274">
        <f>IF(Financials[[#This Row],[ Profit ]]&lt;0,1,0)</f>
        <v/>
      </c>
    </row>
    <row r="275">
      <c r="A275" t="inlineStr">
        <is>
          <t>Government</t>
        </is>
      </c>
      <c r="B275" t="inlineStr">
        <is>
          <t>United States of America</t>
        </is>
      </c>
      <c r="C275" t="inlineStr">
        <is>
          <t xml:space="preserve"> Carretera </t>
        </is>
      </c>
      <c r="D275" t="inlineStr">
        <is>
          <t xml:space="preserve"> Medium </t>
        </is>
      </c>
      <c r="E275" t="n">
        <v>263</v>
      </c>
      <c r="F275" s="69" t="n">
        <v>3</v>
      </c>
      <c r="G275" s="69" t="n">
        <v>7</v>
      </c>
      <c r="H275" s="69" t="n">
        <v>1841</v>
      </c>
      <c r="I275" s="5" t="n">
        <v>110.46</v>
      </c>
      <c r="J275" s="69" t="n">
        <v>1730.54</v>
      </c>
      <c r="K275" s="69" t="n">
        <v>1315</v>
      </c>
      <c r="L275" s="69" t="n">
        <v>415.54</v>
      </c>
      <c r="M275" s="1" t="n">
        <v>41285</v>
      </c>
      <c r="N275" t="n">
        <v>11</v>
      </c>
      <c r="O275" t="inlineStr">
        <is>
          <t xml:space="preserve"> November </t>
        </is>
      </c>
      <c r="P275" t="n">
        <v>2013</v>
      </c>
      <c r="Q275">
        <f>IF(Financials[[#This Row],[ Units_Sold ]]&lt;&gt;INT(Financials[[#This Row],[ Units_Sold ]]),1,0)</f>
        <v/>
      </c>
      <c r="R275" s="10">
        <f>Financials[[#This Row],[ Profit ]]/Financials[[#This Row],[  Sales ]]</f>
        <v/>
      </c>
      <c r="S275" s="2">
        <f>Financials[[#This Row],[ COGS ]]/Financials[[#This Row],[  Sales ]]</f>
        <v/>
      </c>
      <c r="T275" s="3">
        <f>Financials[[#This Row],[ Discounts ]]/Financials[[#This Row],[  Sales ]]</f>
        <v/>
      </c>
      <c r="U275">
        <f>Financials[[#This Row],[  Sales ]]/Financials[[#This Row],[ Units_Sold ]]</f>
        <v/>
      </c>
      <c r="V275">
        <f>Financials[[#This Row],[ Profit ]]/Financials[[#This Row],[ Units_Sold ]]</f>
        <v/>
      </c>
      <c r="W275">
        <f>IF(Financials[[#This Row],[ Profit ]]&lt;0,1,0)</f>
        <v/>
      </c>
    </row>
    <row r="276">
      <c r="A276" t="inlineStr">
        <is>
          <t>Enterprise</t>
        </is>
      </c>
      <c r="B276" t="inlineStr">
        <is>
          <t>Germany</t>
        </is>
      </c>
      <c r="C276" t="inlineStr">
        <is>
          <t xml:space="preserve"> Carretera </t>
        </is>
      </c>
      <c r="D276" t="inlineStr">
        <is>
          <t xml:space="preserve"> Medium </t>
        </is>
      </c>
      <c r="E276" t="n">
        <v>887</v>
      </c>
      <c r="F276" s="69" t="n">
        <v>3</v>
      </c>
      <c r="G276" s="69" t="n">
        <v>125</v>
      </c>
      <c r="H276" s="69" t="n">
        <v>110875</v>
      </c>
      <c r="I276" s="5" t="n">
        <v>6652.5</v>
      </c>
      <c r="J276" s="69" t="n">
        <v>104222.5</v>
      </c>
      <c r="K276" s="69" t="n">
        <v>106440</v>
      </c>
      <c r="L276" s="69" t="n">
        <v>-2217.5</v>
      </c>
      <c r="M276" s="1" t="n">
        <v>41286</v>
      </c>
      <c r="N276" t="n">
        <v>12</v>
      </c>
      <c r="O276" t="inlineStr">
        <is>
          <t xml:space="preserve"> December </t>
        </is>
      </c>
      <c r="P276" t="n">
        <v>2013</v>
      </c>
      <c r="Q276">
        <f>IF(Financials[[#This Row],[ Units_Sold ]]&lt;&gt;INT(Financials[[#This Row],[ Units_Sold ]]),1,0)</f>
        <v/>
      </c>
      <c r="R276" s="10">
        <f>Financials[[#This Row],[ Profit ]]/Financials[[#This Row],[  Sales ]]</f>
        <v/>
      </c>
      <c r="S276" s="2">
        <f>Financials[[#This Row],[ COGS ]]/Financials[[#This Row],[  Sales ]]</f>
        <v/>
      </c>
      <c r="T276" s="3">
        <f>Financials[[#This Row],[ Discounts ]]/Financials[[#This Row],[  Sales ]]</f>
        <v/>
      </c>
      <c r="U276">
        <f>Financials[[#This Row],[  Sales ]]/Financials[[#This Row],[ Units_Sold ]]</f>
        <v/>
      </c>
      <c r="V276">
        <f>Financials[[#This Row],[ Profit ]]/Financials[[#This Row],[ Units_Sold ]]</f>
        <v/>
      </c>
      <c r="W276">
        <f>IF(Financials[[#This Row],[ Profit ]]&lt;0,1,0)</f>
        <v/>
      </c>
    </row>
    <row r="277">
      <c r="A277" t="inlineStr">
        <is>
          <t>Government</t>
        </is>
      </c>
      <c r="B277" t="inlineStr">
        <is>
          <t>Mexico</t>
        </is>
      </c>
      <c r="C277" t="inlineStr">
        <is>
          <t xml:space="preserve"> Montana </t>
        </is>
      </c>
      <c r="D277" t="inlineStr">
        <is>
          <t xml:space="preserve"> Medium </t>
        </is>
      </c>
      <c r="E277" t="n">
        <v>980</v>
      </c>
      <c r="F277" s="69" t="n">
        <v>5</v>
      </c>
      <c r="G277" s="69" t="n">
        <v>350</v>
      </c>
      <c r="H277" s="69" t="n">
        <v>343000</v>
      </c>
      <c r="I277" s="5" t="n">
        <v>20580</v>
      </c>
      <c r="J277" s="69" t="n">
        <v>322420</v>
      </c>
      <c r="K277" s="69" t="n">
        <v>254800</v>
      </c>
      <c r="L277" s="69" t="n">
        <v>67620</v>
      </c>
      <c r="M277" s="1" t="n">
        <v>41643</v>
      </c>
      <c r="N277" t="n">
        <v>4</v>
      </c>
      <c r="O277" t="inlineStr">
        <is>
          <t xml:space="preserve"> April </t>
        </is>
      </c>
      <c r="P277" t="n">
        <v>2014</v>
      </c>
      <c r="Q277">
        <f>IF(Financials[[#This Row],[ Units_Sold ]]&lt;&gt;INT(Financials[[#This Row],[ Units_Sold ]]),1,0)</f>
        <v/>
      </c>
      <c r="R277" s="10">
        <f>Financials[[#This Row],[ Profit ]]/Financials[[#This Row],[  Sales ]]</f>
        <v/>
      </c>
      <c r="S277" s="2">
        <f>Financials[[#This Row],[ COGS ]]/Financials[[#This Row],[  Sales ]]</f>
        <v/>
      </c>
      <c r="T277" s="3">
        <f>Financials[[#This Row],[ Discounts ]]/Financials[[#This Row],[  Sales ]]</f>
        <v/>
      </c>
      <c r="U277">
        <f>Financials[[#This Row],[  Sales ]]/Financials[[#This Row],[ Units_Sold ]]</f>
        <v/>
      </c>
      <c r="V277">
        <f>Financials[[#This Row],[ Profit ]]/Financials[[#This Row],[ Units_Sold ]]</f>
        <v/>
      </c>
      <c r="W277">
        <f>IF(Financials[[#This Row],[ Profit ]]&lt;0,1,0)</f>
        <v/>
      </c>
    </row>
    <row r="278">
      <c r="A278" t="inlineStr">
        <is>
          <t>Government</t>
        </is>
      </c>
      <c r="B278" t="inlineStr">
        <is>
          <t>Germany</t>
        </is>
      </c>
      <c r="C278" t="inlineStr">
        <is>
          <t xml:space="preserve"> Montana </t>
        </is>
      </c>
      <c r="D278" t="inlineStr">
        <is>
          <t xml:space="preserve"> Medium </t>
        </is>
      </c>
      <c r="E278" t="n">
        <v>1460</v>
      </c>
      <c r="F278" s="69" t="n">
        <v>5</v>
      </c>
      <c r="G278" s="69" t="n">
        <v>350</v>
      </c>
      <c r="H278" s="69" t="n">
        <v>511000</v>
      </c>
      <c r="I278" s="5" t="n">
        <v>30660</v>
      </c>
      <c r="J278" s="69" t="n">
        <v>480340</v>
      </c>
      <c r="K278" s="69" t="n">
        <v>379600</v>
      </c>
      <c r="L278" s="69" t="n">
        <v>100740</v>
      </c>
      <c r="M278" s="1" t="n">
        <v>41644</v>
      </c>
      <c r="N278" t="n">
        <v>5</v>
      </c>
      <c r="O278" t="inlineStr">
        <is>
          <t xml:space="preserve"> May </t>
        </is>
      </c>
      <c r="P278" t="n">
        <v>2014</v>
      </c>
      <c r="Q278">
        <f>IF(Financials[[#This Row],[ Units_Sold ]]&lt;&gt;INT(Financials[[#This Row],[ Units_Sold ]]),1,0)</f>
        <v/>
      </c>
      <c r="R278" s="10">
        <f>Financials[[#This Row],[ Profit ]]/Financials[[#This Row],[  Sales ]]</f>
        <v/>
      </c>
      <c r="S278" s="2">
        <f>Financials[[#This Row],[ COGS ]]/Financials[[#This Row],[  Sales ]]</f>
        <v/>
      </c>
      <c r="T278" s="3">
        <f>Financials[[#This Row],[ Discounts ]]/Financials[[#This Row],[  Sales ]]</f>
        <v/>
      </c>
      <c r="U278">
        <f>Financials[[#This Row],[  Sales ]]/Financials[[#This Row],[ Units_Sold ]]</f>
        <v/>
      </c>
      <c r="V278">
        <f>Financials[[#This Row],[ Profit ]]/Financials[[#This Row],[ Units_Sold ]]</f>
        <v/>
      </c>
      <c r="W278">
        <f>IF(Financials[[#This Row],[ Profit ]]&lt;0,1,0)</f>
        <v/>
      </c>
    </row>
    <row r="279">
      <c r="A279" t="inlineStr">
        <is>
          <t>Government</t>
        </is>
      </c>
      <c r="B279" t="inlineStr">
        <is>
          <t>France</t>
        </is>
      </c>
      <c r="C279" t="inlineStr">
        <is>
          <t xml:space="preserve"> Montana </t>
        </is>
      </c>
      <c r="D279" t="inlineStr">
        <is>
          <t xml:space="preserve"> Medium </t>
        </is>
      </c>
      <c r="E279" t="n">
        <v>1403</v>
      </c>
      <c r="F279" s="69" t="n">
        <v>5</v>
      </c>
      <c r="G279" s="69" t="n">
        <v>7</v>
      </c>
      <c r="H279" s="69" t="n">
        <v>9821</v>
      </c>
      <c r="I279" s="5" t="n">
        <v>589.26</v>
      </c>
      <c r="J279" s="69" t="n">
        <v>9231.74</v>
      </c>
      <c r="K279" s="69" t="n">
        <v>7015</v>
      </c>
      <c r="L279" s="69" t="n">
        <v>2216.74</v>
      </c>
      <c r="M279" s="1" t="n">
        <v>41284</v>
      </c>
      <c r="N279" t="n">
        <v>10</v>
      </c>
      <c r="O279" t="inlineStr">
        <is>
          <t xml:space="preserve"> October </t>
        </is>
      </c>
      <c r="P279" t="n">
        <v>2013</v>
      </c>
      <c r="Q279">
        <f>IF(Financials[[#This Row],[ Units_Sold ]]&lt;&gt;INT(Financials[[#This Row],[ Units_Sold ]]),1,0)</f>
        <v/>
      </c>
      <c r="R279" s="10">
        <f>Financials[[#This Row],[ Profit ]]/Financials[[#This Row],[  Sales ]]</f>
        <v/>
      </c>
      <c r="S279" s="2">
        <f>Financials[[#This Row],[ COGS ]]/Financials[[#This Row],[  Sales ]]</f>
        <v/>
      </c>
      <c r="T279" s="3">
        <f>Financials[[#This Row],[ Discounts ]]/Financials[[#This Row],[  Sales ]]</f>
        <v/>
      </c>
      <c r="U279">
        <f>Financials[[#This Row],[  Sales ]]/Financials[[#This Row],[ Units_Sold ]]</f>
        <v/>
      </c>
      <c r="V279">
        <f>Financials[[#This Row],[ Profit ]]/Financials[[#This Row],[ Units_Sold ]]</f>
        <v/>
      </c>
      <c r="W279">
        <f>IF(Financials[[#This Row],[ Profit ]]&lt;0,1,0)</f>
        <v/>
      </c>
    </row>
    <row r="280">
      <c r="A280" t="inlineStr">
        <is>
          <t>Channel Partners</t>
        </is>
      </c>
      <c r="B280" t="inlineStr">
        <is>
          <t>United States of America</t>
        </is>
      </c>
      <c r="C280" t="inlineStr">
        <is>
          <t xml:space="preserve"> Montana </t>
        </is>
      </c>
      <c r="D280" t="inlineStr">
        <is>
          <t xml:space="preserve"> Medium </t>
        </is>
      </c>
      <c r="E280" t="n">
        <v>2723</v>
      </c>
      <c r="F280" s="69" t="n">
        <v>5</v>
      </c>
      <c r="G280" s="69" t="n">
        <v>12</v>
      </c>
      <c r="H280" s="69" t="n">
        <v>32676</v>
      </c>
      <c r="I280" s="5" t="n">
        <v>1960.56</v>
      </c>
      <c r="J280" s="69" t="n">
        <v>30715.44</v>
      </c>
      <c r="K280" s="69" t="n">
        <v>8169</v>
      </c>
      <c r="L280" s="69" t="n">
        <v>22546.44</v>
      </c>
      <c r="M280" s="1" t="n">
        <v>41650</v>
      </c>
      <c r="N280" t="n">
        <v>11</v>
      </c>
      <c r="O280" t="inlineStr">
        <is>
          <t xml:space="preserve"> November </t>
        </is>
      </c>
      <c r="P280" t="n">
        <v>2014</v>
      </c>
      <c r="Q280">
        <f>IF(Financials[[#This Row],[ Units_Sold ]]&lt;&gt;INT(Financials[[#This Row],[ Units_Sold ]]),1,0)</f>
        <v/>
      </c>
      <c r="R280" s="10">
        <f>Financials[[#This Row],[ Profit ]]/Financials[[#This Row],[  Sales ]]</f>
        <v/>
      </c>
      <c r="S280" s="2">
        <f>Financials[[#This Row],[ COGS ]]/Financials[[#This Row],[  Sales ]]</f>
        <v/>
      </c>
      <c r="T280" s="3">
        <f>Financials[[#This Row],[ Discounts ]]/Financials[[#This Row],[  Sales ]]</f>
        <v/>
      </c>
      <c r="U280">
        <f>Financials[[#This Row],[  Sales ]]/Financials[[#This Row],[ Units_Sold ]]</f>
        <v/>
      </c>
      <c r="V280">
        <f>Financials[[#This Row],[ Profit ]]/Financials[[#This Row],[ Units_Sold ]]</f>
        <v/>
      </c>
      <c r="W280">
        <f>IF(Financials[[#This Row],[ Profit ]]&lt;0,1,0)</f>
        <v/>
      </c>
    </row>
    <row r="281">
      <c r="A281" t="inlineStr">
        <is>
          <t>Government</t>
        </is>
      </c>
      <c r="B281" t="inlineStr">
        <is>
          <t>France</t>
        </is>
      </c>
      <c r="C281" t="inlineStr">
        <is>
          <t xml:space="preserve"> Paseo </t>
        </is>
      </c>
      <c r="D281" t="inlineStr">
        <is>
          <t xml:space="preserve"> Medium </t>
        </is>
      </c>
      <c r="E281" t="n">
        <v>1496</v>
      </c>
      <c r="F281" s="69" t="n">
        <v>10</v>
      </c>
      <c r="G281" s="69" t="n">
        <v>350</v>
      </c>
      <c r="H281" s="69" t="n">
        <v>523600</v>
      </c>
      <c r="I281" s="5" t="n">
        <v>31416</v>
      </c>
      <c r="J281" s="69" t="n">
        <v>492184</v>
      </c>
      <c r="K281" s="69" t="n">
        <v>388960</v>
      </c>
      <c r="L281" s="69" t="n">
        <v>103224</v>
      </c>
      <c r="M281" s="1" t="n">
        <v>41645</v>
      </c>
      <c r="N281" t="n">
        <v>6</v>
      </c>
      <c r="O281" t="inlineStr">
        <is>
          <t xml:space="preserve"> June </t>
        </is>
      </c>
      <c r="P281" t="n">
        <v>2014</v>
      </c>
      <c r="Q281">
        <f>IF(Financials[[#This Row],[ Units_Sold ]]&lt;&gt;INT(Financials[[#This Row],[ Units_Sold ]]),1,0)</f>
        <v/>
      </c>
      <c r="R281" s="10">
        <f>Financials[[#This Row],[ Profit ]]/Financials[[#This Row],[  Sales ]]</f>
        <v/>
      </c>
      <c r="S281" s="2">
        <f>Financials[[#This Row],[ COGS ]]/Financials[[#This Row],[  Sales ]]</f>
        <v/>
      </c>
      <c r="T281" s="3">
        <f>Financials[[#This Row],[ Discounts ]]/Financials[[#This Row],[  Sales ]]</f>
        <v/>
      </c>
      <c r="U281">
        <f>Financials[[#This Row],[  Sales ]]/Financials[[#This Row],[ Units_Sold ]]</f>
        <v/>
      </c>
      <c r="V281">
        <f>Financials[[#This Row],[ Profit ]]/Financials[[#This Row],[ Units_Sold ]]</f>
        <v/>
      </c>
      <c r="W281">
        <f>IF(Financials[[#This Row],[ Profit ]]&lt;0,1,0)</f>
        <v/>
      </c>
    </row>
    <row r="282">
      <c r="A282" t="inlineStr">
        <is>
          <t>Channel Partners</t>
        </is>
      </c>
      <c r="B282" t="inlineStr">
        <is>
          <t>Canada</t>
        </is>
      </c>
      <c r="C282" t="inlineStr">
        <is>
          <t xml:space="preserve"> Paseo </t>
        </is>
      </c>
      <c r="D282" t="inlineStr">
        <is>
          <t xml:space="preserve"> Medium </t>
        </is>
      </c>
      <c r="E282" t="n">
        <v>2299</v>
      </c>
      <c r="F282" s="69" t="n">
        <v>10</v>
      </c>
      <c r="G282" s="69" t="n">
        <v>12</v>
      </c>
      <c r="H282" s="69" t="n">
        <v>27588</v>
      </c>
      <c r="I282" s="5" t="n">
        <v>1655.28</v>
      </c>
      <c r="J282" s="69" t="n">
        <v>25932.72</v>
      </c>
      <c r="K282" s="69" t="n">
        <v>6897</v>
      </c>
      <c r="L282" s="69" t="n">
        <v>19035.72</v>
      </c>
      <c r="M282" s="1" t="n">
        <v>41284</v>
      </c>
      <c r="N282" t="n">
        <v>10</v>
      </c>
      <c r="O282" t="inlineStr">
        <is>
          <t xml:space="preserve"> October </t>
        </is>
      </c>
      <c r="P282" t="n">
        <v>2013</v>
      </c>
      <c r="Q282">
        <f>IF(Financials[[#This Row],[ Units_Sold ]]&lt;&gt;INT(Financials[[#This Row],[ Units_Sold ]]),1,0)</f>
        <v/>
      </c>
      <c r="R282" s="10">
        <f>Financials[[#This Row],[ Profit ]]/Financials[[#This Row],[  Sales ]]</f>
        <v/>
      </c>
      <c r="S282" s="2">
        <f>Financials[[#This Row],[ COGS ]]/Financials[[#This Row],[  Sales ]]</f>
        <v/>
      </c>
      <c r="T282" s="3">
        <f>Financials[[#This Row],[ Discounts ]]/Financials[[#This Row],[  Sales ]]</f>
        <v/>
      </c>
      <c r="U282">
        <f>Financials[[#This Row],[  Sales ]]/Financials[[#This Row],[ Units_Sold ]]</f>
        <v/>
      </c>
      <c r="V282">
        <f>Financials[[#This Row],[ Profit ]]/Financials[[#This Row],[ Units_Sold ]]</f>
        <v/>
      </c>
      <c r="W282">
        <f>IF(Financials[[#This Row],[ Profit ]]&lt;0,1,0)</f>
        <v/>
      </c>
    </row>
    <row r="283">
      <c r="A283" t="inlineStr">
        <is>
          <t>Government</t>
        </is>
      </c>
      <c r="B283" t="inlineStr">
        <is>
          <t>United States of America</t>
        </is>
      </c>
      <c r="C283" t="inlineStr">
        <is>
          <t xml:space="preserve"> Paseo </t>
        </is>
      </c>
      <c r="D283" t="inlineStr">
        <is>
          <t xml:space="preserve"> Medium </t>
        </is>
      </c>
      <c r="E283" t="n">
        <v>727</v>
      </c>
      <c r="F283" s="69" t="n">
        <v>10</v>
      </c>
      <c r="G283" s="69" t="n">
        <v>350</v>
      </c>
      <c r="H283" s="69" t="n">
        <v>254450</v>
      </c>
      <c r="I283" s="5" t="n">
        <v>15267</v>
      </c>
      <c r="J283" s="69" t="n">
        <v>239183</v>
      </c>
      <c r="K283" s="69" t="n">
        <v>189020</v>
      </c>
      <c r="L283" s="69" t="n">
        <v>50163</v>
      </c>
      <c r="M283" s="1" t="n">
        <v>41284</v>
      </c>
      <c r="N283" t="n">
        <v>10</v>
      </c>
      <c r="O283" t="inlineStr">
        <is>
          <t xml:space="preserve"> October </t>
        </is>
      </c>
      <c r="P283" t="n">
        <v>2013</v>
      </c>
      <c r="Q283">
        <f>IF(Financials[[#This Row],[ Units_Sold ]]&lt;&gt;INT(Financials[[#This Row],[ Units_Sold ]]),1,0)</f>
        <v/>
      </c>
      <c r="R283" s="10">
        <f>Financials[[#This Row],[ Profit ]]/Financials[[#This Row],[  Sales ]]</f>
        <v/>
      </c>
      <c r="S283" s="2">
        <f>Financials[[#This Row],[ COGS ]]/Financials[[#This Row],[  Sales ]]</f>
        <v/>
      </c>
      <c r="T283" s="3">
        <f>Financials[[#This Row],[ Discounts ]]/Financials[[#This Row],[  Sales ]]</f>
        <v/>
      </c>
      <c r="U283">
        <f>Financials[[#This Row],[  Sales ]]/Financials[[#This Row],[ Units_Sold ]]</f>
        <v/>
      </c>
      <c r="V283">
        <f>Financials[[#This Row],[ Profit ]]/Financials[[#This Row],[ Units_Sold ]]</f>
        <v/>
      </c>
      <c r="W283">
        <f>IF(Financials[[#This Row],[ Profit ]]&lt;0,1,0)</f>
        <v/>
      </c>
    </row>
    <row r="284">
      <c r="A284" t="inlineStr">
        <is>
          <t>Enterprise</t>
        </is>
      </c>
      <c r="B284" t="inlineStr">
        <is>
          <t>Canada</t>
        </is>
      </c>
      <c r="C284" t="inlineStr">
        <is>
          <t xml:space="preserve"> Velo </t>
        </is>
      </c>
      <c r="D284" t="inlineStr">
        <is>
          <t xml:space="preserve"> Medium </t>
        </is>
      </c>
      <c r="E284" t="n">
        <v>952</v>
      </c>
      <c r="F284" s="69" t="n">
        <v>120</v>
      </c>
      <c r="G284" s="69" t="n">
        <v>125</v>
      </c>
      <c r="H284" s="69" t="n">
        <v>119000</v>
      </c>
      <c r="I284" s="5" t="n">
        <v>7140</v>
      </c>
      <c r="J284" s="69" t="n">
        <v>111860</v>
      </c>
      <c r="K284" s="69" t="n">
        <v>114240</v>
      </c>
      <c r="L284" s="69" t="n">
        <v>-2380</v>
      </c>
      <c r="M284" s="1" t="n">
        <v>41641</v>
      </c>
      <c r="N284" t="n">
        <v>2</v>
      </c>
      <c r="O284" t="inlineStr">
        <is>
          <t xml:space="preserve"> February </t>
        </is>
      </c>
      <c r="P284" t="n">
        <v>2014</v>
      </c>
      <c r="Q284">
        <f>IF(Financials[[#This Row],[ Units_Sold ]]&lt;&gt;INT(Financials[[#This Row],[ Units_Sold ]]),1,0)</f>
        <v/>
      </c>
      <c r="R284" s="10">
        <f>Financials[[#This Row],[ Profit ]]/Financials[[#This Row],[  Sales ]]</f>
        <v/>
      </c>
      <c r="S284" s="2">
        <f>Financials[[#This Row],[ COGS ]]/Financials[[#This Row],[  Sales ]]</f>
        <v/>
      </c>
      <c r="T284" s="3">
        <f>Financials[[#This Row],[ Discounts ]]/Financials[[#This Row],[  Sales ]]</f>
        <v/>
      </c>
      <c r="U284">
        <f>Financials[[#This Row],[  Sales ]]/Financials[[#This Row],[ Units_Sold ]]</f>
        <v/>
      </c>
      <c r="V284">
        <f>Financials[[#This Row],[ Profit ]]/Financials[[#This Row],[ Units_Sold ]]</f>
        <v/>
      </c>
      <c r="W284">
        <f>IF(Financials[[#This Row],[ Profit ]]&lt;0,1,0)</f>
        <v/>
      </c>
    </row>
    <row r="285">
      <c r="A285" t="inlineStr">
        <is>
          <t>Enterprise</t>
        </is>
      </c>
      <c r="B285" t="inlineStr">
        <is>
          <t>United States of America</t>
        </is>
      </c>
      <c r="C285" t="inlineStr">
        <is>
          <t xml:space="preserve"> Velo </t>
        </is>
      </c>
      <c r="D285" t="inlineStr">
        <is>
          <t xml:space="preserve"> Medium </t>
        </is>
      </c>
      <c r="E285" t="n">
        <v>2755</v>
      </c>
      <c r="F285" s="69" t="n">
        <v>120</v>
      </c>
      <c r="G285" s="69" t="n">
        <v>125</v>
      </c>
      <c r="H285" s="69" t="n">
        <v>344375</v>
      </c>
      <c r="I285" s="5" t="n">
        <v>20662.5</v>
      </c>
      <c r="J285" s="69" t="n">
        <v>323712.5</v>
      </c>
      <c r="K285" s="69" t="n">
        <v>330600</v>
      </c>
      <c r="L285" s="69" t="n">
        <v>-6887.5</v>
      </c>
      <c r="M285" s="1" t="n">
        <v>41641</v>
      </c>
      <c r="N285" t="n">
        <v>2</v>
      </c>
      <c r="O285" t="inlineStr">
        <is>
          <t xml:space="preserve"> February </t>
        </is>
      </c>
      <c r="P285" t="n">
        <v>2014</v>
      </c>
      <c r="Q285">
        <f>IF(Financials[[#This Row],[ Units_Sold ]]&lt;&gt;INT(Financials[[#This Row],[ Units_Sold ]]),1,0)</f>
        <v/>
      </c>
      <c r="R285" s="10">
        <f>Financials[[#This Row],[ Profit ]]/Financials[[#This Row],[  Sales ]]</f>
        <v/>
      </c>
      <c r="S285" s="2">
        <f>Financials[[#This Row],[ COGS ]]/Financials[[#This Row],[  Sales ]]</f>
        <v/>
      </c>
      <c r="T285" s="3">
        <f>Financials[[#This Row],[ Discounts ]]/Financials[[#This Row],[  Sales ]]</f>
        <v/>
      </c>
      <c r="U285">
        <f>Financials[[#This Row],[  Sales ]]/Financials[[#This Row],[ Units_Sold ]]</f>
        <v/>
      </c>
      <c r="V285">
        <f>Financials[[#This Row],[ Profit ]]/Financials[[#This Row],[ Units_Sold ]]</f>
        <v/>
      </c>
      <c r="W285">
        <f>IF(Financials[[#This Row],[ Profit ]]&lt;0,1,0)</f>
        <v/>
      </c>
    </row>
    <row r="286">
      <c r="A286" t="inlineStr">
        <is>
          <t>Midmarket</t>
        </is>
      </c>
      <c r="B286" t="inlineStr">
        <is>
          <t>Germany</t>
        </is>
      </c>
      <c r="C286" t="inlineStr">
        <is>
          <t xml:space="preserve"> Velo </t>
        </is>
      </c>
      <c r="D286" t="inlineStr">
        <is>
          <t xml:space="preserve"> Medium </t>
        </is>
      </c>
      <c r="E286" t="n">
        <v>1530</v>
      </c>
      <c r="F286" s="69" t="n">
        <v>120</v>
      </c>
      <c r="G286" s="69" t="n">
        <v>15</v>
      </c>
      <c r="H286" s="69" t="n">
        <v>22950</v>
      </c>
      <c r="I286" s="5" t="n">
        <v>1377</v>
      </c>
      <c r="J286" s="69" t="n">
        <v>21573</v>
      </c>
      <c r="K286" s="69" t="n">
        <v>15300</v>
      </c>
      <c r="L286" s="69" t="n">
        <v>6273</v>
      </c>
      <c r="M286" s="1" t="n">
        <v>41644</v>
      </c>
      <c r="N286" t="n">
        <v>5</v>
      </c>
      <c r="O286" t="inlineStr">
        <is>
          <t xml:space="preserve"> May </t>
        </is>
      </c>
      <c r="P286" t="n">
        <v>2014</v>
      </c>
      <c r="Q286">
        <f>IF(Financials[[#This Row],[ Units_Sold ]]&lt;&gt;INT(Financials[[#This Row],[ Units_Sold ]]),1,0)</f>
        <v/>
      </c>
      <c r="R286" s="10">
        <f>Financials[[#This Row],[ Profit ]]/Financials[[#This Row],[  Sales ]]</f>
        <v/>
      </c>
      <c r="S286" s="2">
        <f>Financials[[#This Row],[ COGS ]]/Financials[[#This Row],[  Sales ]]</f>
        <v/>
      </c>
      <c r="T286" s="3">
        <f>Financials[[#This Row],[ Discounts ]]/Financials[[#This Row],[  Sales ]]</f>
        <v/>
      </c>
      <c r="U286">
        <f>Financials[[#This Row],[  Sales ]]/Financials[[#This Row],[ Units_Sold ]]</f>
        <v/>
      </c>
      <c r="V286">
        <f>Financials[[#This Row],[ Profit ]]/Financials[[#This Row],[ Units_Sold ]]</f>
        <v/>
      </c>
      <c r="W286">
        <f>IF(Financials[[#This Row],[ Profit ]]&lt;0,1,0)</f>
        <v/>
      </c>
    </row>
    <row r="287">
      <c r="A287" t="inlineStr">
        <is>
          <t>Government</t>
        </is>
      </c>
      <c r="B287" t="inlineStr">
        <is>
          <t>France</t>
        </is>
      </c>
      <c r="C287" t="inlineStr">
        <is>
          <t xml:space="preserve"> Velo </t>
        </is>
      </c>
      <c r="D287" t="inlineStr">
        <is>
          <t xml:space="preserve"> Medium </t>
        </is>
      </c>
      <c r="E287" t="n">
        <v>1496</v>
      </c>
      <c r="F287" s="69" t="n">
        <v>120</v>
      </c>
      <c r="G287" s="69" t="n">
        <v>350</v>
      </c>
      <c r="H287" s="69" t="n">
        <v>523600</v>
      </c>
      <c r="I287" s="5" t="n">
        <v>31416</v>
      </c>
      <c r="J287" s="69" t="n">
        <v>492184</v>
      </c>
      <c r="K287" s="69" t="n">
        <v>388960</v>
      </c>
      <c r="L287" s="69" t="n">
        <v>103224</v>
      </c>
      <c r="M287" s="1" t="n">
        <v>41645</v>
      </c>
      <c r="N287" t="n">
        <v>6</v>
      </c>
      <c r="O287" t="inlineStr">
        <is>
          <t xml:space="preserve"> June </t>
        </is>
      </c>
      <c r="P287" t="n">
        <v>2014</v>
      </c>
      <c r="Q287">
        <f>IF(Financials[[#This Row],[ Units_Sold ]]&lt;&gt;INT(Financials[[#This Row],[ Units_Sold ]]),1,0)</f>
        <v/>
      </c>
      <c r="R287" s="10">
        <f>Financials[[#This Row],[ Profit ]]/Financials[[#This Row],[  Sales ]]</f>
        <v/>
      </c>
      <c r="S287" s="2">
        <f>Financials[[#This Row],[ COGS ]]/Financials[[#This Row],[  Sales ]]</f>
        <v/>
      </c>
      <c r="T287" s="3">
        <f>Financials[[#This Row],[ Discounts ]]/Financials[[#This Row],[  Sales ]]</f>
        <v/>
      </c>
      <c r="U287">
        <f>Financials[[#This Row],[  Sales ]]/Financials[[#This Row],[ Units_Sold ]]</f>
        <v/>
      </c>
      <c r="V287">
        <f>Financials[[#This Row],[ Profit ]]/Financials[[#This Row],[ Units_Sold ]]</f>
        <v/>
      </c>
      <c r="W287">
        <f>IF(Financials[[#This Row],[ Profit ]]&lt;0,1,0)</f>
        <v/>
      </c>
    </row>
    <row r="288">
      <c r="A288" t="inlineStr">
        <is>
          <t>Government</t>
        </is>
      </c>
      <c r="B288" t="inlineStr">
        <is>
          <t>Mexico</t>
        </is>
      </c>
      <c r="C288" t="inlineStr">
        <is>
          <t xml:space="preserve"> Velo </t>
        </is>
      </c>
      <c r="D288" t="inlineStr">
        <is>
          <t xml:space="preserve"> Medium </t>
        </is>
      </c>
      <c r="E288" t="n">
        <v>1498</v>
      </c>
      <c r="F288" s="69" t="n">
        <v>120</v>
      </c>
      <c r="G288" s="69" t="n">
        <v>7</v>
      </c>
      <c r="H288" s="69" t="n">
        <v>10486</v>
      </c>
      <c r="I288" s="5" t="n">
        <v>629.16</v>
      </c>
      <c r="J288" s="69" t="n">
        <v>9856.84</v>
      </c>
      <c r="K288" s="69" t="n">
        <v>7490</v>
      </c>
      <c r="L288" s="69" t="n">
        <v>2366.84</v>
      </c>
      <c r="M288" s="1" t="n">
        <v>41645</v>
      </c>
      <c r="N288" t="n">
        <v>6</v>
      </c>
      <c r="O288" t="inlineStr">
        <is>
          <t xml:space="preserve"> June </t>
        </is>
      </c>
      <c r="P288" t="n">
        <v>2014</v>
      </c>
      <c r="Q288">
        <f>IF(Financials[[#This Row],[ Units_Sold ]]&lt;&gt;INT(Financials[[#This Row],[ Units_Sold ]]),1,0)</f>
        <v/>
      </c>
      <c r="R288" s="10">
        <f>Financials[[#This Row],[ Profit ]]/Financials[[#This Row],[  Sales ]]</f>
        <v/>
      </c>
      <c r="S288" s="2">
        <f>Financials[[#This Row],[ COGS ]]/Financials[[#This Row],[  Sales ]]</f>
        <v/>
      </c>
      <c r="T288" s="3">
        <f>Financials[[#This Row],[ Discounts ]]/Financials[[#This Row],[  Sales ]]</f>
        <v/>
      </c>
      <c r="U288">
        <f>Financials[[#This Row],[  Sales ]]/Financials[[#This Row],[ Units_Sold ]]</f>
        <v/>
      </c>
      <c r="V288">
        <f>Financials[[#This Row],[ Profit ]]/Financials[[#This Row],[ Units_Sold ]]</f>
        <v/>
      </c>
      <c r="W288">
        <f>IF(Financials[[#This Row],[ Profit ]]&lt;0,1,0)</f>
        <v/>
      </c>
    </row>
    <row r="289">
      <c r="A289" t="inlineStr">
        <is>
          <t>Small Business</t>
        </is>
      </c>
      <c r="B289" t="inlineStr">
        <is>
          <t>France</t>
        </is>
      </c>
      <c r="C289" t="inlineStr">
        <is>
          <t xml:space="preserve"> Velo </t>
        </is>
      </c>
      <c r="D289" t="inlineStr">
        <is>
          <t xml:space="preserve"> Medium </t>
        </is>
      </c>
      <c r="E289" t="n">
        <v>1221</v>
      </c>
      <c r="F289" s="69" t="n">
        <v>120</v>
      </c>
      <c r="G289" s="69" t="n">
        <v>300</v>
      </c>
      <c r="H289" s="69" t="n">
        <v>366300</v>
      </c>
      <c r="I289" s="5" t="n">
        <v>21978</v>
      </c>
      <c r="J289" s="69" t="n">
        <v>344322</v>
      </c>
      <c r="K289" s="69" t="n">
        <v>305250</v>
      </c>
      <c r="L289" s="69" t="n">
        <v>39072</v>
      </c>
      <c r="M289" s="1" t="n">
        <v>41284</v>
      </c>
      <c r="N289" t="n">
        <v>10</v>
      </c>
      <c r="O289" t="inlineStr">
        <is>
          <t xml:space="preserve"> October </t>
        </is>
      </c>
      <c r="P289" t="n">
        <v>2013</v>
      </c>
      <c r="Q289">
        <f>IF(Financials[[#This Row],[ Units_Sold ]]&lt;&gt;INT(Financials[[#This Row],[ Units_Sold ]]),1,0)</f>
        <v/>
      </c>
      <c r="R289" s="10">
        <f>Financials[[#This Row],[ Profit ]]/Financials[[#This Row],[  Sales ]]</f>
        <v/>
      </c>
      <c r="S289" s="2">
        <f>Financials[[#This Row],[ COGS ]]/Financials[[#This Row],[  Sales ]]</f>
        <v/>
      </c>
      <c r="T289" s="3">
        <f>Financials[[#This Row],[ Discounts ]]/Financials[[#This Row],[  Sales ]]</f>
        <v/>
      </c>
      <c r="U289">
        <f>Financials[[#This Row],[  Sales ]]/Financials[[#This Row],[ Units_Sold ]]</f>
        <v/>
      </c>
      <c r="V289">
        <f>Financials[[#This Row],[ Profit ]]/Financials[[#This Row],[ Units_Sold ]]</f>
        <v/>
      </c>
      <c r="W289">
        <f>IF(Financials[[#This Row],[ Profit ]]&lt;0,1,0)</f>
        <v/>
      </c>
    </row>
    <row r="290">
      <c r="A290" t="inlineStr">
        <is>
          <t>Government</t>
        </is>
      </c>
      <c r="B290" t="inlineStr">
        <is>
          <t>France</t>
        </is>
      </c>
      <c r="C290" t="inlineStr">
        <is>
          <t xml:space="preserve"> Velo </t>
        </is>
      </c>
      <c r="D290" t="inlineStr">
        <is>
          <t xml:space="preserve"> Medium </t>
        </is>
      </c>
      <c r="E290" t="n">
        <v>2076</v>
      </c>
      <c r="F290" s="69" t="n">
        <v>120</v>
      </c>
      <c r="G290" s="69" t="n">
        <v>350</v>
      </c>
      <c r="H290" s="69" t="n">
        <v>726600</v>
      </c>
      <c r="I290" s="5" t="n">
        <v>43596</v>
      </c>
      <c r="J290" s="69" t="n">
        <v>683004</v>
      </c>
      <c r="K290" s="69" t="n">
        <v>539760</v>
      </c>
      <c r="L290" s="69" t="n">
        <v>143244</v>
      </c>
      <c r="M290" s="1" t="n">
        <v>41284</v>
      </c>
      <c r="N290" t="n">
        <v>10</v>
      </c>
      <c r="O290" t="inlineStr">
        <is>
          <t xml:space="preserve"> October </t>
        </is>
      </c>
      <c r="P290" t="n">
        <v>2013</v>
      </c>
      <c r="Q290">
        <f>IF(Financials[[#This Row],[ Units_Sold ]]&lt;&gt;INT(Financials[[#This Row],[ Units_Sold ]]),1,0)</f>
        <v/>
      </c>
      <c r="R290" s="10">
        <f>Financials[[#This Row],[ Profit ]]/Financials[[#This Row],[  Sales ]]</f>
        <v/>
      </c>
      <c r="S290" s="2">
        <f>Financials[[#This Row],[ COGS ]]/Financials[[#This Row],[  Sales ]]</f>
        <v/>
      </c>
      <c r="T290" s="3">
        <f>Financials[[#This Row],[ Discounts ]]/Financials[[#This Row],[  Sales ]]</f>
        <v/>
      </c>
      <c r="U290">
        <f>Financials[[#This Row],[  Sales ]]/Financials[[#This Row],[ Units_Sold ]]</f>
        <v/>
      </c>
      <c r="V290">
        <f>Financials[[#This Row],[ Profit ]]/Financials[[#This Row],[ Units_Sold ]]</f>
        <v/>
      </c>
      <c r="W290">
        <f>IF(Financials[[#This Row],[ Profit ]]&lt;0,1,0)</f>
        <v/>
      </c>
    </row>
    <row r="291">
      <c r="A291" t="inlineStr">
        <is>
          <t>Midmarket</t>
        </is>
      </c>
      <c r="B291" t="inlineStr">
        <is>
          <t>Canada</t>
        </is>
      </c>
      <c r="C291" t="inlineStr">
        <is>
          <t xml:space="preserve"> VTT </t>
        </is>
      </c>
      <c r="D291" t="inlineStr">
        <is>
          <t xml:space="preserve"> Medium </t>
        </is>
      </c>
      <c r="E291" t="n">
        <v>2844</v>
      </c>
      <c r="F291" s="69" t="n">
        <v>250</v>
      </c>
      <c r="G291" s="69" t="n">
        <v>15</v>
      </c>
      <c r="H291" s="69" t="n">
        <v>42660</v>
      </c>
      <c r="I291" s="5" t="n">
        <v>2559.6</v>
      </c>
      <c r="J291" s="69" t="n">
        <v>40100.4</v>
      </c>
      <c r="K291" s="69" t="n">
        <v>28440</v>
      </c>
      <c r="L291" s="69" t="n">
        <v>11660.4</v>
      </c>
      <c r="M291" s="1" t="n">
        <v>41645</v>
      </c>
      <c r="N291" t="n">
        <v>6</v>
      </c>
      <c r="O291" t="inlineStr">
        <is>
          <t xml:space="preserve"> June </t>
        </is>
      </c>
      <c r="P291" t="n">
        <v>2014</v>
      </c>
      <c r="Q291">
        <f>IF(Financials[[#This Row],[ Units_Sold ]]&lt;&gt;INT(Financials[[#This Row],[ Units_Sold ]]),1,0)</f>
        <v/>
      </c>
      <c r="R291" s="10">
        <f>Financials[[#This Row],[ Profit ]]/Financials[[#This Row],[  Sales ]]</f>
        <v/>
      </c>
      <c r="S291" s="2">
        <f>Financials[[#This Row],[ COGS ]]/Financials[[#This Row],[  Sales ]]</f>
        <v/>
      </c>
      <c r="T291" s="3">
        <f>Financials[[#This Row],[ Discounts ]]/Financials[[#This Row],[  Sales ]]</f>
        <v/>
      </c>
      <c r="U291">
        <f>Financials[[#This Row],[  Sales ]]/Financials[[#This Row],[ Units_Sold ]]</f>
        <v/>
      </c>
      <c r="V291">
        <f>Financials[[#This Row],[ Profit ]]/Financials[[#This Row],[ Units_Sold ]]</f>
        <v/>
      </c>
      <c r="W291">
        <f>IF(Financials[[#This Row],[ Profit ]]&lt;0,1,0)</f>
        <v/>
      </c>
    </row>
    <row r="292">
      <c r="A292" t="inlineStr">
        <is>
          <t>Government</t>
        </is>
      </c>
      <c r="B292" t="inlineStr">
        <is>
          <t>Mexico</t>
        </is>
      </c>
      <c r="C292" t="inlineStr">
        <is>
          <t xml:space="preserve"> VTT </t>
        </is>
      </c>
      <c r="D292" t="inlineStr">
        <is>
          <t xml:space="preserve"> Medium </t>
        </is>
      </c>
      <c r="E292" t="n">
        <v>1498</v>
      </c>
      <c r="F292" s="69" t="n">
        <v>250</v>
      </c>
      <c r="G292" s="69" t="n">
        <v>7</v>
      </c>
      <c r="H292" s="69" t="n">
        <v>10486</v>
      </c>
      <c r="I292" s="5" t="n">
        <v>629.16</v>
      </c>
      <c r="J292" s="69" t="n">
        <v>9856.84</v>
      </c>
      <c r="K292" s="69" t="n">
        <v>7490</v>
      </c>
      <c r="L292" s="69" t="n">
        <v>2366.84</v>
      </c>
      <c r="M292" s="1" t="n">
        <v>41645</v>
      </c>
      <c r="N292" t="n">
        <v>6</v>
      </c>
      <c r="O292" t="inlineStr">
        <is>
          <t xml:space="preserve"> June </t>
        </is>
      </c>
      <c r="P292" t="n">
        <v>2014</v>
      </c>
      <c r="Q292">
        <f>IF(Financials[[#This Row],[ Units_Sold ]]&lt;&gt;INT(Financials[[#This Row],[ Units_Sold ]]),1,0)</f>
        <v/>
      </c>
      <c r="R292" s="10">
        <f>Financials[[#This Row],[ Profit ]]/Financials[[#This Row],[  Sales ]]</f>
        <v/>
      </c>
      <c r="S292" s="2">
        <f>Financials[[#This Row],[ COGS ]]/Financials[[#This Row],[  Sales ]]</f>
        <v/>
      </c>
      <c r="T292" s="3">
        <f>Financials[[#This Row],[ Discounts ]]/Financials[[#This Row],[  Sales ]]</f>
        <v/>
      </c>
      <c r="U292">
        <f>Financials[[#This Row],[  Sales ]]/Financials[[#This Row],[ Units_Sold ]]</f>
        <v/>
      </c>
      <c r="V292">
        <f>Financials[[#This Row],[ Profit ]]/Financials[[#This Row],[ Units_Sold ]]</f>
        <v/>
      </c>
      <c r="W292">
        <f>IF(Financials[[#This Row],[ Profit ]]&lt;0,1,0)</f>
        <v/>
      </c>
    </row>
    <row r="293">
      <c r="A293" t="inlineStr">
        <is>
          <t>Small Business</t>
        </is>
      </c>
      <c r="B293" t="inlineStr">
        <is>
          <t>France</t>
        </is>
      </c>
      <c r="C293" t="inlineStr">
        <is>
          <t xml:space="preserve"> VTT </t>
        </is>
      </c>
      <c r="D293" t="inlineStr">
        <is>
          <t xml:space="preserve"> Medium </t>
        </is>
      </c>
      <c r="E293" t="n">
        <v>1221</v>
      </c>
      <c r="F293" s="69" t="n">
        <v>250</v>
      </c>
      <c r="G293" s="69" t="n">
        <v>300</v>
      </c>
      <c r="H293" s="69" t="n">
        <v>366300</v>
      </c>
      <c r="I293" s="5" t="n">
        <v>21978</v>
      </c>
      <c r="J293" s="69" t="n">
        <v>344322</v>
      </c>
      <c r="K293" s="69" t="n">
        <v>305250</v>
      </c>
      <c r="L293" s="69" t="n">
        <v>39072</v>
      </c>
      <c r="M293" s="1" t="n">
        <v>41284</v>
      </c>
      <c r="N293" t="n">
        <v>10</v>
      </c>
      <c r="O293" t="inlineStr">
        <is>
          <t xml:space="preserve"> October </t>
        </is>
      </c>
      <c r="P293" t="n">
        <v>2013</v>
      </c>
      <c r="Q293">
        <f>IF(Financials[[#This Row],[ Units_Sold ]]&lt;&gt;INT(Financials[[#This Row],[ Units_Sold ]]),1,0)</f>
        <v/>
      </c>
      <c r="R293" s="10">
        <f>Financials[[#This Row],[ Profit ]]/Financials[[#This Row],[  Sales ]]</f>
        <v/>
      </c>
      <c r="S293" s="2">
        <f>Financials[[#This Row],[ COGS ]]/Financials[[#This Row],[  Sales ]]</f>
        <v/>
      </c>
      <c r="T293" s="3">
        <f>Financials[[#This Row],[ Discounts ]]/Financials[[#This Row],[  Sales ]]</f>
        <v/>
      </c>
      <c r="U293">
        <f>Financials[[#This Row],[  Sales ]]/Financials[[#This Row],[ Units_Sold ]]</f>
        <v/>
      </c>
      <c r="V293">
        <f>Financials[[#This Row],[ Profit ]]/Financials[[#This Row],[ Units_Sold ]]</f>
        <v/>
      </c>
      <c r="W293">
        <f>IF(Financials[[#This Row],[ Profit ]]&lt;0,1,0)</f>
        <v/>
      </c>
    </row>
    <row r="294">
      <c r="A294" t="inlineStr">
        <is>
          <t>Government</t>
        </is>
      </c>
      <c r="B294" t="inlineStr">
        <is>
          <t>Mexico</t>
        </is>
      </c>
      <c r="C294" t="inlineStr">
        <is>
          <t xml:space="preserve"> VTT </t>
        </is>
      </c>
      <c r="D294" t="inlineStr">
        <is>
          <t xml:space="preserve"> Medium </t>
        </is>
      </c>
      <c r="E294" t="n">
        <v>1123</v>
      </c>
      <c r="F294" s="69" t="n">
        <v>250</v>
      </c>
      <c r="G294" s="69" t="n">
        <v>20</v>
      </c>
      <c r="H294" s="69" t="n">
        <v>22460</v>
      </c>
      <c r="I294" s="5" t="n">
        <v>1347.6</v>
      </c>
      <c r="J294" s="69" t="n">
        <v>21112.4</v>
      </c>
      <c r="K294" s="69" t="n">
        <v>11230</v>
      </c>
      <c r="L294" s="69" t="n">
        <v>9882.4</v>
      </c>
      <c r="M294" s="1" t="n">
        <v>41285</v>
      </c>
      <c r="N294" t="n">
        <v>11</v>
      </c>
      <c r="O294" t="inlineStr">
        <is>
          <t xml:space="preserve"> November </t>
        </is>
      </c>
      <c r="P294" t="n">
        <v>2013</v>
      </c>
      <c r="Q294">
        <f>IF(Financials[[#This Row],[ Units_Sold ]]&lt;&gt;INT(Financials[[#This Row],[ Units_Sold ]]),1,0)</f>
        <v/>
      </c>
      <c r="R294" s="10">
        <f>Financials[[#This Row],[ Profit ]]/Financials[[#This Row],[  Sales ]]</f>
        <v/>
      </c>
      <c r="S294" s="2">
        <f>Financials[[#This Row],[ COGS ]]/Financials[[#This Row],[  Sales ]]</f>
        <v/>
      </c>
      <c r="T294" s="3">
        <f>Financials[[#This Row],[ Discounts ]]/Financials[[#This Row],[  Sales ]]</f>
        <v/>
      </c>
      <c r="U294">
        <f>Financials[[#This Row],[  Sales ]]/Financials[[#This Row],[ Units_Sold ]]</f>
        <v/>
      </c>
      <c r="V294">
        <f>Financials[[#This Row],[ Profit ]]/Financials[[#This Row],[ Units_Sold ]]</f>
        <v/>
      </c>
      <c r="W294">
        <f>IF(Financials[[#This Row],[ Profit ]]&lt;0,1,0)</f>
        <v/>
      </c>
    </row>
    <row r="295">
      <c r="A295" t="inlineStr">
        <is>
          <t>Small Business</t>
        </is>
      </c>
      <c r="B295" t="inlineStr">
        <is>
          <t>Canada</t>
        </is>
      </c>
      <c r="C295" t="inlineStr">
        <is>
          <t xml:space="preserve"> VTT </t>
        </is>
      </c>
      <c r="D295" t="inlineStr">
        <is>
          <t xml:space="preserve"> Medium </t>
        </is>
      </c>
      <c r="E295" t="n">
        <v>2436</v>
      </c>
      <c r="F295" s="69" t="n">
        <v>250</v>
      </c>
      <c r="G295" s="69" t="n">
        <v>300</v>
      </c>
      <c r="H295" s="69" t="n">
        <v>730800</v>
      </c>
      <c r="I295" s="5" t="n">
        <v>43848</v>
      </c>
      <c r="J295" s="69" t="n">
        <v>686952</v>
      </c>
      <c r="K295" s="69" t="n">
        <v>609000</v>
      </c>
      <c r="L295" s="69" t="n">
        <v>77952</v>
      </c>
      <c r="M295" s="1" t="n">
        <v>41286</v>
      </c>
      <c r="N295" t="n">
        <v>12</v>
      </c>
      <c r="O295" t="inlineStr">
        <is>
          <t xml:space="preserve"> December </t>
        </is>
      </c>
      <c r="P295" t="n">
        <v>2013</v>
      </c>
      <c r="Q295">
        <f>IF(Financials[[#This Row],[ Units_Sold ]]&lt;&gt;INT(Financials[[#This Row],[ Units_Sold ]]),1,0)</f>
        <v/>
      </c>
      <c r="R295" s="10">
        <f>Financials[[#This Row],[ Profit ]]/Financials[[#This Row],[  Sales ]]</f>
        <v/>
      </c>
      <c r="S295" s="2">
        <f>Financials[[#This Row],[ COGS ]]/Financials[[#This Row],[  Sales ]]</f>
        <v/>
      </c>
      <c r="T295" s="3">
        <f>Financials[[#This Row],[ Discounts ]]/Financials[[#This Row],[  Sales ]]</f>
        <v/>
      </c>
      <c r="U295">
        <f>Financials[[#This Row],[  Sales ]]/Financials[[#This Row],[ Units_Sold ]]</f>
        <v/>
      </c>
      <c r="V295">
        <f>Financials[[#This Row],[ Profit ]]/Financials[[#This Row],[ Units_Sold ]]</f>
        <v/>
      </c>
      <c r="W295">
        <f>IF(Financials[[#This Row],[ Profit ]]&lt;0,1,0)</f>
        <v/>
      </c>
    </row>
    <row r="296">
      <c r="A296" t="inlineStr">
        <is>
          <t>Enterprise</t>
        </is>
      </c>
      <c r="B296" t="inlineStr">
        <is>
          <t>France</t>
        </is>
      </c>
      <c r="C296" t="inlineStr">
        <is>
          <t xml:space="preserve"> Amarilla </t>
        </is>
      </c>
      <c r="D296" t="inlineStr">
        <is>
          <t xml:space="preserve"> Medium </t>
        </is>
      </c>
      <c r="E296" t="n">
        <v>1987.5</v>
      </c>
      <c r="F296" s="69" t="n">
        <v>260</v>
      </c>
      <c r="G296" s="69" t="n">
        <v>125</v>
      </c>
      <c r="H296" s="69" t="n">
        <v>248437.5</v>
      </c>
      <c r="I296" s="5" t="n">
        <v>14906.25</v>
      </c>
      <c r="J296" s="69" t="n">
        <v>233531.25</v>
      </c>
      <c r="K296" s="69" t="n">
        <v>238500</v>
      </c>
      <c r="L296" s="69" t="n">
        <v>-4968.75</v>
      </c>
      <c r="M296" s="1" t="n">
        <v>41640</v>
      </c>
      <c r="N296" t="n">
        <v>1</v>
      </c>
      <c r="O296" t="inlineStr">
        <is>
          <t xml:space="preserve"> January </t>
        </is>
      </c>
      <c r="P296" t="n">
        <v>2014</v>
      </c>
      <c r="Q296">
        <f>IF(Financials[[#This Row],[ Units_Sold ]]&lt;&gt;INT(Financials[[#This Row],[ Units_Sold ]]),1,0)</f>
        <v/>
      </c>
      <c r="R296" s="10">
        <f>Financials[[#This Row],[ Profit ]]/Financials[[#This Row],[  Sales ]]</f>
        <v/>
      </c>
      <c r="S296" s="2">
        <f>Financials[[#This Row],[ COGS ]]/Financials[[#This Row],[  Sales ]]</f>
        <v/>
      </c>
      <c r="T296" s="3">
        <f>Financials[[#This Row],[ Discounts ]]/Financials[[#This Row],[  Sales ]]</f>
        <v/>
      </c>
      <c r="U296">
        <f>Financials[[#This Row],[  Sales ]]/Financials[[#This Row],[ Units_Sold ]]</f>
        <v/>
      </c>
      <c r="V296">
        <f>Financials[[#This Row],[ Profit ]]/Financials[[#This Row],[ Units_Sold ]]</f>
        <v/>
      </c>
      <c r="W296">
        <f>IF(Financials[[#This Row],[ Profit ]]&lt;0,1,0)</f>
        <v/>
      </c>
    </row>
    <row r="297">
      <c r="A297" t="inlineStr">
        <is>
          <t>Government</t>
        </is>
      </c>
      <c r="B297" t="inlineStr">
        <is>
          <t>Mexico</t>
        </is>
      </c>
      <c r="C297" t="inlineStr">
        <is>
          <t xml:space="preserve"> Amarilla </t>
        </is>
      </c>
      <c r="D297" t="inlineStr">
        <is>
          <t xml:space="preserve"> Medium </t>
        </is>
      </c>
      <c r="E297" t="n">
        <v>1679</v>
      </c>
      <c r="F297" s="69" t="n">
        <v>260</v>
      </c>
      <c r="G297" s="69" t="n">
        <v>350</v>
      </c>
      <c r="H297" s="69" t="n">
        <v>587650</v>
      </c>
      <c r="I297" s="5" t="n">
        <v>35259</v>
      </c>
      <c r="J297" s="69" t="n">
        <v>552391</v>
      </c>
      <c r="K297" s="69" t="n">
        <v>436540</v>
      </c>
      <c r="L297" s="69" t="n">
        <v>115851</v>
      </c>
      <c r="M297" s="1" t="n">
        <v>41648</v>
      </c>
      <c r="N297" t="n">
        <v>9</v>
      </c>
      <c r="O297" t="inlineStr">
        <is>
          <t xml:space="preserve"> September </t>
        </is>
      </c>
      <c r="P297" t="n">
        <v>2014</v>
      </c>
      <c r="Q297">
        <f>IF(Financials[[#This Row],[ Units_Sold ]]&lt;&gt;INT(Financials[[#This Row],[ Units_Sold ]]),1,0)</f>
        <v/>
      </c>
      <c r="R297" s="10">
        <f>Financials[[#This Row],[ Profit ]]/Financials[[#This Row],[  Sales ]]</f>
        <v/>
      </c>
      <c r="S297" s="2">
        <f>Financials[[#This Row],[ COGS ]]/Financials[[#This Row],[  Sales ]]</f>
        <v/>
      </c>
      <c r="T297" s="3">
        <f>Financials[[#This Row],[ Discounts ]]/Financials[[#This Row],[  Sales ]]</f>
        <v/>
      </c>
      <c r="U297">
        <f>Financials[[#This Row],[  Sales ]]/Financials[[#This Row],[ Units_Sold ]]</f>
        <v/>
      </c>
      <c r="V297">
        <f>Financials[[#This Row],[ Profit ]]/Financials[[#This Row],[ Units_Sold ]]</f>
        <v/>
      </c>
      <c r="W297">
        <f>IF(Financials[[#This Row],[ Profit ]]&lt;0,1,0)</f>
        <v/>
      </c>
    </row>
    <row r="298">
      <c r="A298" t="inlineStr">
        <is>
          <t>Government</t>
        </is>
      </c>
      <c r="B298" t="inlineStr">
        <is>
          <t>United States of America</t>
        </is>
      </c>
      <c r="C298" t="inlineStr">
        <is>
          <t xml:space="preserve"> Amarilla </t>
        </is>
      </c>
      <c r="D298" t="inlineStr">
        <is>
          <t xml:space="preserve"> Medium </t>
        </is>
      </c>
      <c r="E298" t="n">
        <v>727</v>
      </c>
      <c r="F298" s="69" t="n">
        <v>260</v>
      </c>
      <c r="G298" s="69" t="n">
        <v>350</v>
      </c>
      <c r="H298" s="69" t="n">
        <v>254450</v>
      </c>
      <c r="I298" s="5" t="n">
        <v>15267</v>
      </c>
      <c r="J298" s="69" t="n">
        <v>239183</v>
      </c>
      <c r="K298" s="69" t="n">
        <v>189020</v>
      </c>
      <c r="L298" s="69" t="n">
        <v>50163</v>
      </c>
      <c r="M298" s="1" t="n">
        <v>41284</v>
      </c>
      <c r="N298" t="n">
        <v>10</v>
      </c>
      <c r="O298" t="inlineStr">
        <is>
          <t xml:space="preserve"> October </t>
        </is>
      </c>
      <c r="P298" t="n">
        <v>2013</v>
      </c>
      <c r="Q298">
        <f>IF(Financials[[#This Row],[ Units_Sold ]]&lt;&gt;INT(Financials[[#This Row],[ Units_Sold ]]),1,0)</f>
        <v/>
      </c>
      <c r="R298" s="10">
        <f>Financials[[#This Row],[ Profit ]]/Financials[[#This Row],[  Sales ]]</f>
        <v/>
      </c>
      <c r="S298" s="2">
        <f>Financials[[#This Row],[ COGS ]]/Financials[[#This Row],[  Sales ]]</f>
        <v/>
      </c>
      <c r="T298" s="3">
        <f>Financials[[#This Row],[ Discounts ]]/Financials[[#This Row],[  Sales ]]</f>
        <v/>
      </c>
      <c r="U298">
        <f>Financials[[#This Row],[  Sales ]]/Financials[[#This Row],[ Units_Sold ]]</f>
        <v/>
      </c>
      <c r="V298">
        <f>Financials[[#This Row],[ Profit ]]/Financials[[#This Row],[ Units_Sold ]]</f>
        <v/>
      </c>
      <c r="W298">
        <f>IF(Financials[[#This Row],[ Profit ]]&lt;0,1,0)</f>
        <v/>
      </c>
    </row>
    <row r="299">
      <c r="A299" t="inlineStr">
        <is>
          <t>Government</t>
        </is>
      </c>
      <c r="B299" t="inlineStr">
        <is>
          <t>France</t>
        </is>
      </c>
      <c r="C299" t="inlineStr">
        <is>
          <t xml:space="preserve"> Amarilla </t>
        </is>
      </c>
      <c r="D299" t="inlineStr">
        <is>
          <t xml:space="preserve"> Medium </t>
        </is>
      </c>
      <c r="E299" t="n">
        <v>1403</v>
      </c>
      <c r="F299" s="69" t="n">
        <v>260</v>
      </c>
      <c r="G299" s="69" t="n">
        <v>7</v>
      </c>
      <c r="H299" s="69" t="n">
        <v>9821</v>
      </c>
      <c r="I299" s="5" t="n">
        <v>589.26</v>
      </c>
      <c r="J299" s="69" t="n">
        <v>9231.74</v>
      </c>
      <c r="K299" s="69" t="n">
        <v>7015</v>
      </c>
      <c r="L299" s="69" t="n">
        <v>2216.74</v>
      </c>
      <c r="M299" s="1" t="n">
        <v>41284</v>
      </c>
      <c r="N299" t="n">
        <v>10</v>
      </c>
      <c r="O299" t="inlineStr">
        <is>
          <t xml:space="preserve"> October </t>
        </is>
      </c>
      <c r="P299" t="n">
        <v>2013</v>
      </c>
      <c r="Q299">
        <f>IF(Financials[[#This Row],[ Units_Sold ]]&lt;&gt;INT(Financials[[#This Row],[ Units_Sold ]]),1,0)</f>
        <v/>
      </c>
      <c r="R299" s="10">
        <f>Financials[[#This Row],[ Profit ]]/Financials[[#This Row],[  Sales ]]</f>
        <v/>
      </c>
      <c r="S299" s="2">
        <f>Financials[[#This Row],[ COGS ]]/Financials[[#This Row],[  Sales ]]</f>
        <v/>
      </c>
      <c r="T299" s="3">
        <f>Financials[[#This Row],[ Discounts ]]/Financials[[#This Row],[  Sales ]]</f>
        <v/>
      </c>
      <c r="U299">
        <f>Financials[[#This Row],[  Sales ]]/Financials[[#This Row],[ Units_Sold ]]</f>
        <v/>
      </c>
      <c r="V299">
        <f>Financials[[#This Row],[ Profit ]]/Financials[[#This Row],[ Units_Sold ]]</f>
        <v/>
      </c>
      <c r="W299">
        <f>IF(Financials[[#This Row],[ Profit ]]&lt;0,1,0)</f>
        <v/>
      </c>
    </row>
    <row r="300">
      <c r="A300" t="inlineStr">
        <is>
          <t>Government</t>
        </is>
      </c>
      <c r="B300" t="inlineStr">
        <is>
          <t>France</t>
        </is>
      </c>
      <c r="C300" t="inlineStr">
        <is>
          <t xml:space="preserve"> Amarilla </t>
        </is>
      </c>
      <c r="D300" t="inlineStr">
        <is>
          <t xml:space="preserve"> Medium </t>
        </is>
      </c>
      <c r="E300" t="n">
        <v>2076</v>
      </c>
      <c r="F300" s="69" t="n">
        <v>260</v>
      </c>
      <c r="G300" s="69" t="n">
        <v>350</v>
      </c>
      <c r="H300" s="69" t="n">
        <v>726600</v>
      </c>
      <c r="I300" s="5" t="n">
        <v>43596</v>
      </c>
      <c r="J300" s="69" t="n">
        <v>683004</v>
      </c>
      <c r="K300" s="69" t="n">
        <v>539760</v>
      </c>
      <c r="L300" s="69" t="n">
        <v>143244</v>
      </c>
      <c r="M300" s="1" t="n">
        <v>41284</v>
      </c>
      <c r="N300" t="n">
        <v>10</v>
      </c>
      <c r="O300" t="inlineStr">
        <is>
          <t xml:space="preserve"> October </t>
        </is>
      </c>
      <c r="P300" t="n">
        <v>2013</v>
      </c>
      <c r="Q300">
        <f>IF(Financials[[#This Row],[ Units_Sold ]]&lt;&gt;INT(Financials[[#This Row],[ Units_Sold ]]),1,0)</f>
        <v/>
      </c>
      <c r="R300" s="10">
        <f>Financials[[#This Row],[ Profit ]]/Financials[[#This Row],[  Sales ]]</f>
        <v/>
      </c>
      <c r="S300" s="2">
        <f>Financials[[#This Row],[ COGS ]]/Financials[[#This Row],[  Sales ]]</f>
        <v/>
      </c>
      <c r="T300" s="3">
        <f>Financials[[#This Row],[ Discounts ]]/Financials[[#This Row],[  Sales ]]</f>
        <v/>
      </c>
      <c r="U300">
        <f>Financials[[#This Row],[  Sales ]]/Financials[[#This Row],[ Units_Sold ]]</f>
        <v/>
      </c>
      <c r="V300">
        <f>Financials[[#This Row],[ Profit ]]/Financials[[#This Row],[ Units_Sold ]]</f>
        <v/>
      </c>
      <c r="W300">
        <f>IF(Financials[[#This Row],[ Profit ]]&lt;0,1,0)</f>
        <v/>
      </c>
    </row>
    <row r="301">
      <c r="A301" t="inlineStr">
        <is>
          <t>Government</t>
        </is>
      </c>
      <c r="B301" t="inlineStr">
        <is>
          <t>France</t>
        </is>
      </c>
      <c r="C301" t="inlineStr">
        <is>
          <t xml:space="preserve"> Montana </t>
        </is>
      </c>
      <c r="D301" t="inlineStr">
        <is>
          <t xml:space="preserve"> Medium </t>
        </is>
      </c>
      <c r="E301" t="n">
        <v>1757</v>
      </c>
      <c r="F301" s="69" t="n">
        <v>5</v>
      </c>
      <c r="G301" s="69" t="n">
        <v>20</v>
      </c>
      <c r="H301" s="69" t="n">
        <v>35140</v>
      </c>
      <c r="I301" s="5" t="n">
        <v>2108.4</v>
      </c>
      <c r="J301" s="69" t="n">
        <v>33031.6</v>
      </c>
      <c r="K301" s="69" t="n">
        <v>17570</v>
      </c>
      <c r="L301" s="69" t="n">
        <v>15461.6</v>
      </c>
      <c r="M301" s="1" t="n">
        <v>41284</v>
      </c>
      <c r="N301" t="n">
        <v>10</v>
      </c>
      <c r="O301" t="inlineStr">
        <is>
          <t xml:space="preserve"> October </t>
        </is>
      </c>
      <c r="P301" t="n">
        <v>2013</v>
      </c>
      <c r="Q301">
        <f>IF(Financials[[#This Row],[ Units_Sold ]]&lt;&gt;INT(Financials[[#This Row],[ Units_Sold ]]),1,0)</f>
        <v/>
      </c>
      <c r="R301" s="10">
        <f>Financials[[#This Row],[ Profit ]]/Financials[[#This Row],[  Sales ]]</f>
        <v/>
      </c>
      <c r="S301" s="2">
        <f>Financials[[#This Row],[ COGS ]]/Financials[[#This Row],[  Sales ]]</f>
        <v/>
      </c>
      <c r="T301" s="3">
        <f>Financials[[#This Row],[ Discounts ]]/Financials[[#This Row],[  Sales ]]</f>
        <v/>
      </c>
      <c r="U301">
        <f>Financials[[#This Row],[  Sales ]]/Financials[[#This Row],[ Units_Sold ]]</f>
        <v/>
      </c>
      <c r="V301">
        <f>Financials[[#This Row],[ Profit ]]/Financials[[#This Row],[ Units_Sold ]]</f>
        <v/>
      </c>
      <c r="W301">
        <f>IF(Financials[[#This Row],[ Profit ]]&lt;0,1,0)</f>
        <v/>
      </c>
    </row>
    <row r="302">
      <c r="A302" t="inlineStr">
        <is>
          <t>Midmarket</t>
        </is>
      </c>
      <c r="B302" t="inlineStr">
        <is>
          <t>United States of America</t>
        </is>
      </c>
      <c r="C302" t="inlineStr">
        <is>
          <t xml:space="preserve"> Paseo </t>
        </is>
      </c>
      <c r="D302" t="inlineStr">
        <is>
          <t xml:space="preserve"> Medium </t>
        </is>
      </c>
      <c r="E302" t="n">
        <v>2198</v>
      </c>
      <c r="F302" s="69" t="n">
        <v>10</v>
      </c>
      <c r="G302" s="69" t="n">
        <v>15</v>
      </c>
      <c r="H302" s="69" t="n">
        <v>32970</v>
      </c>
      <c r="I302" s="5" t="n">
        <v>1978.2</v>
      </c>
      <c r="J302" s="69" t="n">
        <v>30991.8</v>
      </c>
      <c r="K302" s="69" t="n">
        <v>21980</v>
      </c>
      <c r="L302" s="69" t="n">
        <v>9011.799999999999</v>
      </c>
      <c r="M302" s="1" t="n">
        <v>41647</v>
      </c>
      <c r="N302" t="n">
        <v>8</v>
      </c>
      <c r="O302" t="inlineStr">
        <is>
          <t xml:space="preserve"> August </t>
        </is>
      </c>
      <c r="P302" t="n">
        <v>2014</v>
      </c>
      <c r="Q302">
        <f>IF(Financials[[#This Row],[ Units_Sold ]]&lt;&gt;INT(Financials[[#This Row],[ Units_Sold ]]),1,0)</f>
        <v/>
      </c>
      <c r="R302" s="10">
        <f>Financials[[#This Row],[ Profit ]]/Financials[[#This Row],[  Sales ]]</f>
        <v/>
      </c>
      <c r="S302" s="2">
        <f>Financials[[#This Row],[ COGS ]]/Financials[[#This Row],[  Sales ]]</f>
        <v/>
      </c>
      <c r="T302" s="3">
        <f>Financials[[#This Row],[ Discounts ]]/Financials[[#This Row],[  Sales ]]</f>
        <v/>
      </c>
      <c r="U302">
        <f>Financials[[#This Row],[  Sales ]]/Financials[[#This Row],[ Units_Sold ]]</f>
        <v/>
      </c>
      <c r="V302">
        <f>Financials[[#This Row],[ Profit ]]/Financials[[#This Row],[ Units_Sold ]]</f>
        <v/>
      </c>
      <c r="W302">
        <f>IF(Financials[[#This Row],[ Profit ]]&lt;0,1,0)</f>
        <v/>
      </c>
    </row>
    <row r="303">
      <c r="A303" t="inlineStr">
        <is>
          <t>Midmarket</t>
        </is>
      </c>
      <c r="B303" t="inlineStr">
        <is>
          <t>Germany</t>
        </is>
      </c>
      <c r="C303" t="inlineStr">
        <is>
          <t xml:space="preserve"> Paseo </t>
        </is>
      </c>
      <c r="D303" t="inlineStr">
        <is>
          <t xml:space="preserve"> Medium </t>
        </is>
      </c>
      <c r="E303" t="n">
        <v>1743</v>
      </c>
      <c r="F303" s="69" t="n">
        <v>10</v>
      </c>
      <c r="G303" s="69" t="n">
        <v>15</v>
      </c>
      <c r="H303" s="69" t="n">
        <v>26145</v>
      </c>
      <c r="I303" s="5" t="n">
        <v>1568.7</v>
      </c>
      <c r="J303" s="69" t="n">
        <v>24576.3</v>
      </c>
      <c r="K303" s="69" t="n">
        <v>17430</v>
      </c>
      <c r="L303" s="69" t="n">
        <v>7146.3</v>
      </c>
      <c r="M303" s="1" t="n">
        <v>41647</v>
      </c>
      <c r="N303" t="n">
        <v>8</v>
      </c>
      <c r="O303" t="inlineStr">
        <is>
          <t xml:space="preserve"> August </t>
        </is>
      </c>
      <c r="P303" t="n">
        <v>2014</v>
      </c>
      <c r="Q303">
        <f>IF(Financials[[#This Row],[ Units_Sold ]]&lt;&gt;INT(Financials[[#This Row],[ Units_Sold ]]),1,0)</f>
        <v/>
      </c>
      <c r="R303" s="10">
        <f>Financials[[#This Row],[ Profit ]]/Financials[[#This Row],[  Sales ]]</f>
        <v/>
      </c>
      <c r="S303" s="2">
        <f>Financials[[#This Row],[ COGS ]]/Financials[[#This Row],[  Sales ]]</f>
        <v/>
      </c>
      <c r="T303" s="3">
        <f>Financials[[#This Row],[ Discounts ]]/Financials[[#This Row],[  Sales ]]</f>
        <v/>
      </c>
      <c r="U303">
        <f>Financials[[#This Row],[  Sales ]]/Financials[[#This Row],[ Units_Sold ]]</f>
        <v/>
      </c>
      <c r="V303">
        <f>Financials[[#This Row],[ Profit ]]/Financials[[#This Row],[ Units_Sold ]]</f>
        <v/>
      </c>
      <c r="W303">
        <f>IF(Financials[[#This Row],[ Profit ]]&lt;0,1,0)</f>
        <v/>
      </c>
    </row>
    <row r="304">
      <c r="A304" t="inlineStr">
        <is>
          <t>Midmarket</t>
        </is>
      </c>
      <c r="B304" t="inlineStr">
        <is>
          <t>United States of America</t>
        </is>
      </c>
      <c r="C304" t="inlineStr">
        <is>
          <t xml:space="preserve"> Paseo </t>
        </is>
      </c>
      <c r="D304" t="inlineStr">
        <is>
          <t xml:space="preserve"> Medium </t>
        </is>
      </c>
      <c r="E304" t="n">
        <v>1153</v>
      </c>
      <c r="F304" s="69" t="n">
        <v>10</v>
      </c>
      <c r="G304" s="69" t="n">
        <v>15</v>
      </c>
      <c r="H304" s="69" t="n">
        <v>17295</v>
      </c>
      <c r="I304" s="5" t="n">
        <v>1037.7</v>
      </c>
      <c r="J304" s="69" t="n">
        <v>16257.3</v>
      </c>
      <c r="K304" s="69" t="n">
        <v>11530</v>
      </c>
      <c r="L304" s="69" t="n">
        <v>4727.3</v>
      </c>
      <c r="M304" s="1" t="n">
        <v>41649</v>
      </c>
      <c r="N304" t="n">
        <v>10</v>
      </c>
      <c r="O304" t="inlineStr">
        <is>
          <t xml:space="preserve"> October </t>
        </is>
      </c>
      <c r="P304" t="n">
        <v>2014</v>
      </c>
      <c r="Q304">
        <f>IF(Financials[[#This Row],[ Units_Sold ]]&lt;&gt;INT(Financials[[#This Row],[ Units_Sold ]]),1,0)</f>
        <v/>
      </c>
      <c r="R304" s="10">
        <f>Financials[[#This Row],[ Profit ]]/Financials[[#This Row],[  Sales ]]</f>
        <v/>
      </c>
      <c r="S304" s="2">
        <f>Financials[[#This Row],[ COGS ]]/Financials[[#This Row],[  Sales ]]</f>
        <v/>
      </c>
      <c r="T304" s="3">
        <f>Financials[[#This Row],[ Discounts ]]/Financials[[#This Row],[  Sales ]]</f>
        <v/>
      </c>
      <c r="U304">
        <f>Financials[[#This Row],[  Sales ]]/Financials[[#This Row],[ Units_Sold ]]</f>
        <v/>
      </c>
      <c r="V304">
        <f>Financials[[#This Row],[ Profit ]]/Financials[[#This Row],[ Units_Sold ]]</f>
        <v/>
      </c>
      <c r="W304">
        <f>IF(Financials[[#This Row],[ Profit ]]&lt;0,1,0)</f>
        <v/>
      </c>
    </row>
    <row r="305">
      <c r="A305" t="inlineStr">
        <is>
          <t>Government</t>
        </is>
      </c>
      <c r="B305" t="inlineStr">
        <is>
          <t>France</t>
        </is>
      </c>
      <c r="C305" t="inlineStr">
        <is>
          <t xml:space="preserve"> Paseo </t>
        </is>
      </c>
      <c r="D305" t="inlineStr">
        <is>
          <t xml:space="preserve"> Medium </t>
        </is>
      </c>
      <c r="E305" t="n">
        <v>1757</v>
      </c>
      <c r="F305" s="69" t="n">
        <v>10</v>
      </c>
      <c r="G305" s="69" t="n">
        <v>20</v>
      </c>
      <c r="H305" s="69" t="n">
        <v>35140</v>
      </c>
      <c r="I305" s="5" t="n">
        <v>2108.4</v>
      </c>
      <c r="J305" s="69" t="n">
        <v>33031.6</v>
      </c>
      <c r="K305" s="69" t="n">
        <v>17570</v>
      </c>
      <c r="L305" s="69" t="n">
        <v>15461.6</v>
      </c>
      <c r="M305" s="1" t="n">
        <v>41284</v>
      </c>
      <c r="N305" t="n">
        <v>10</v>
      </c>
      <c r="O305" t="inlineStr">
        <is>
          <t xml:space="preserve"> October </t>
        </is>
      </c>
      <c r="P305" t="n">
        <v>2013</v>
      </c>
      <c r="Q305">
        <f>IF(Financials[[#This Row],[ Units_Sold ]]&lt;&gt;INT(Financials[[#This Row],[ Units_Sold ]]),1,0)</f>
        <v/>
      </c>
      <c r="R305" s="10">
        <f>Financials[[#This Row],[ Profit ]]/Financials[[#This Row],[  Sales ]]</f>
        <v/>
      </c>
      <c r="S305" s="2">
        <f>Financials[[#This Row],[ COGS ]]/Financials[[#This Row],[  Sales ]]</f>
        <v/>
      </c>
      <c r="T305" s="3">
        <f>Financials[[#This Row],[ Discounts ]]/Financials[[#This Row],[  Sales ]]</f>
        <v/>
      </c>
      <c r="U305">
        <f>Financials[[#This Row],[  Sales ]]/Financials[[#This Row],[ Units_Sold ]]</f>
        <v/>
      </c>
      <c r="V305">
        <f>Financials[[#This Row],[ Profit ]]/Financials[[#This Row],[ Units_Sold ]]</f>
        <v/>
      </c>
      <c r="W305">
        <f>IF(Financials[[#This Row],[ Profit ]]&lt;0,1,0)</f>
        <v/>
      </c>
    </row>
    <row r="306">
      <c r="A306" t="inlineStr">
        <is>
          <t>Government</t>
        </is>
      </c>
      <c r="B306" t="inlineStr">
        <is>
          <t>Germany</t>
        </is>
      </c>
      <c r="C306" t="inlineStr">
        <is>
          <t xml:space="preserve"> Velo </t>
        </is>
      </c>
      <c r="D306" t="inlineStr">
        <is>
          <t xml:space="preserve"> Medium </t>
        </is>
      </c>
      <c r="E306" t="n">
        <v>1001</v>
      </c>
      <c r="F306" s="69" t="n">
        <v>120</v>
      </c>
      <c r="G306" s="69" t="n">
        <v>20</v>
      </c>
      <c r="H306" s="69" t="n">
        <v>20020</v>
      </c>
      <c r="I306" s="5" t="n">
        <v>1201.2</v>
      </c>
      <c r="J306" s="69" t="n">
        <v>18818.8</v>
      </c>
      <c r="K306" s="69" t="n">
        <v>10010</v>
      </c>
      <c r="L306" s="69" t="n">
        <v>8808.799999999999</v>
      </c>
      <c r="M306" s="1" t="n">
        <v>41647</v>
      </c>
      <c r="N306" t="n">
        <v>8</v>
      </c>
      <c r="O306" t="inlineStr">
        <is>
          <t xml:space="preserve"> August </t>
        </is>
      </c>
      <c r="P306" t="n">
        <v>2014</v>
      </c>
      <c r="Q306">
        <f>IF(Financials[[#This Row],[ Units_Sold ]]&lt;&gt;INT(Financials[[#This Row],[ Units_Sold ]]),1,0)</f>
        <v/>
      </c>
      <c r="R306" s="10">
        <f>Financials[[#This Row],[ Profit ]]/Financials[[#This Row],[  Sales ]]</f>
        <v/>
      </c>
      <c r="S306" s="2">
        <f>Financials[[#This Row],[ COGS ]]/Financials[[#This Row],[  Sales ]]</f>
        <v/>
      </c>
      <c r="T306" s="3">
        <f>Financials[[#This Row],[ Discounts ]]/Financials[[#This Row],[  Sales ]]</f>
        <v/>
      </c>
      <c r="U306">
        <f>Financials[[#This Row],[  Sales ]]/Financials[[#This Row],[ Units_Sold ]]</f>
        <v/>
      </c>
      <c r="V306">
        <f>Financials[[#This Row],[ Profit ]]/Financials[[#This Row],[ Units_Sold ]]</f>
        <v/>
      </c>
      <c r="W306">
        <f>IF(Financials[[#This Row],[ Profit ]]&lt;0,1,0)</f>
        <v/>
      </c>
    </row>
    <row r="307">
      <c r="A307" t="inlineStr">
        <is>
          <t>Government</t>
        </is>
      </c>
      <c r="B307" t="inlineStr">
        <is>
          <t>Mexico</t>
        </is>
      </c>
      <c r="C307" t="inlineStr">
        <is>
          <t xml:space="preserve"> Velo </t>
        </is>
      </c>
      <c r="D307" t="inlineStr">
        <is>
          <t xml:space="preserve"> Medium </t>
        </is>
      </c>
      <c r="E307" t="n">
        <v>1333</v>
      </c>
      <c r="F307" s="69" t="n">
        <v>120</v>
      </c>
      <c r="G307" s="69" t="n">
        <v>7</v>
      </c>
      <c r="H307" s="69" t="n">
        <v>9331</v>
      </c>
      <c r="I307" s="5" t="n">
        <v>559.86</v>
      </c>
      <c r="J307" s="69" t="n">
        <v>8771.139999999999</v>
      </c>
      <c r="K307" s="69" t="n">
        <v>6665</v>
      </c>
      <c r="L307" s="69" t="n">
        <v>2106.14</v>
      </c>
      <c r="M307" s="1" t="n">
        <v>41650</v>
      </c>
      <c r="N307" t="n">
        <v>11</v>
      </c>
      <c r="O307" t="inlineStr">
        <is>
          <t xml:space="preserve"> November </t>
        </is>
      </c>
      <c r="P307" t="n">
        <v>2014</v>
      </c>
      <c r="Q307">
        <f>IF(Financials[[#This Row],[ Units_Sold ]]&lt;&gt;INT(Financials[[#This Row],[ Units_Sold ]]),1,0)</f>
        <v/>
      </c>
      <c r="R307" s="10">
        <f>Financials[[#This Row],[ Profit ]]/Financials[[#This Row],[  Sales ]]</f>
        <v/>
      </c>
      <c r="S307" s="2">
        <f>Financials[[#This Row],[ COGS ]]/Financials[[#This Row],[  Sales ]]</f>
        <v/>
      </c>
      <c r="T307" s="3">
        <f>Financials[[#This Row],[ Discounts ]]/Financials[[#This Row],[  Sales ]]</f>
        <v/>
      </c>
      <c r="U307">
        <f>Financials[[#This Row],[  Sales ]]/Financials[[#This Row],[ Units_Sold ]]</f>
        <v/>
      </c>
      <c r="V307">
        <f>Financials[[#This Row],[ Profit ]]/Financials[[#This Row],[ Units_Sold ]]</f>
        <v/>
      </c>
      <c r="W307">
        <f>IF(Financials[[#This Row],[ Profit ]]&lt;0,1,0)</f>
        <v/>
      </c>
    </row>
    <row r="308">
      <c r="A308" t="inlineStr">
        <is>
          <t>Midmarket</t>
        </is>
      </c>
      <c r="B308" t="inlineStr">
        <is>
          <t>United States of America</t>
        </is>
      </c>
      <c r="C308" t="inlineStr">
        <is>
          <t xml:space="preserve"> VTT </t>
        </is>
      </c>
      <c r="D308" t="inlineStr">
        <is>
          <t xml:space="preserve"> Medium </t>
        </is>
      </c>
      <c r="E308" t="n">
        <v>1153</v>
      </c>
      <c r="F308" s="69" t="n">
        <v>250</v>
      </c>
      <c r="G308" s="69" t="n">
        <v>15</v>
      </c>
      <c r="H308" s="69" t="n">
        <v>17295</v>
      </c>
      <c r="I308" s="5" t="n">
        <v>1037.7</v>
      </c>
      <c r="J308" s="69" t="n">
        <v>16257.3</v>
      </c>
      <c r="K308" s="69" t="n">
        <v>11530</v>
      </c>
      <c r="L308" s="69" t="n">
        <v>4727.3</v>
      </c>
      <c r="M308" s="1" t="n">
        <v>41649</v>
      </c>
      <c r="N308" t="n">
        <v>10</v>
      </c>
      <c r="O308" t="inlineStr">
        <is>
          <t xml:space="preserve"> October </t>
        </is>
      </c>
      <c r="P308" t="n">
        <v>2014</v>
      </c>
      <c r="Q308">
        <f>IF(Financials[[#This Row],[ Units_Sold ]]&lt;&gt;INT(Financials[[#This Row],[ Units_Sold ]]),1,0)</f>
        <v/>
      </c>
      <c r="R308" s="10">
        <f>Financials[[#This Row],[ Profit ]]/Financials[[#This Row],[  Sales ]]</f>
        <v/>
      </c>
      <c r="S308" s="2">
        <f>Financials[[#This Row],[ COGS ]]/Financials[[#This Row],[  Sales ]]</f>
        <v/>
      </c>
      <c r="T308" s="3">
        <f>Financials[[#This Row],[ Discounts ]]/Financials[[#This Row],[  Sales ]]</f>
        <v/>
      </c>
      <c r="U308">
        <f>Financials[[#This Row],[  Sales ]]/Financials[[#This Row],[ Units_Sold ]]</f>
        <v/>
      </c>
      <c r="V308">
        <f>Financials[[#This Row],[ Profit ]]/Financials[[#This Row],[ Units_Sold ]]</f>
        <v/>
      </c>
      <c r="W308">
        <f>IF(Financials[[#This Row],[ Profit ]]&lt;0,1,0)</f>
        <v/>
      </c>
    </row>
    <row r="309">
      <c r="A309" t="inlineStr">
        <is>
          <t>Channel Partners</t>
        </is>
      </c>
      <c r="B309" t="inlineStr">
        <is>
          <t>Mexico</t>
        </is>
      </c>
      <c r="C309" t="inlineStr">
        <is>
          <t xml:space="preserve"> Carretera </t>
        </is>
      </c>
      <c r="D309" t="inlineStr">
        <is>
          <t xml:space="preserve"> Medium </t>
        </is>
      </c>
      <c r="E309" t="n">
        <v>727</v>
      </c>
      <c r="F309" s="69" t="n">
        <v>3</v>
      </c>
      <c r="G309" s="69" t="n">
        <v>12</v>
      </c>
      <c r="H309" s="69" t="n">
        <v>8724</v>
      </c>
      <c r="I309" s="5" t="n">
        <v>610.6799999999999</v>
      </c>
      <c r="J309" s="69" t="n">
        <v>8113.32</v>
      </c>
      <c r="K309" s="69" t="n">
        <v>2181</v>
      </c>
      <c r="L309" s="69" t="n">
        <v>5932.32</v>
      </c>
      <c r="M309" s="1" t="n">
        <v>41641</v>
      </c>
      <c r="N309" t="n">
        <v>2</v>
      </c>
      <c r="O309" t="inlineStr">
        <is>
          <t xml:space="preserve"> February </t>
        </is>
      </c>
      <c r="P309" t="n">
        <v>2014</v>
      </c>
      <c r="Q309">
        <f>IF(Financials[[#This Row],[ Units_Sold ]]&lt;&gt;INT(Financials[[#This Row],[ Units_Sold ]]),1,0)</f>
        <v/>
      </c>
      <c r="R309" s="10">
        <f>Financials[[#This Row],[ Profit ]]/Financials[[#This Row],[  Sales ]]</f>
        <v/>
      </c>
      <c r="S309" s="2">
        <f>Financials[[#This Row],[ COGS ]]/Financials[[#This Row],[  Sales ]]</f>
        <v/>
      </c>
      <c r="T309" s="3">
        <f>Financials[[#This Row],[ Discounts ]]/Financials[[#This Row],[  Sales ]]</f>
        <v/>
      </c>
      <c r="U309">
        <f>Financials[[#This Row],[  Sales ]]/Financials[[#This Row],[ Units_Sold ]]</f>
        <v/>
      </c>
      <c r="V309">
        <f>Financials[[#This Row],[ Profit ]]/Financials[[#This Row],[ Units_Sold ]]</f>
        <v/>
      </c>
      <c r="W309">
        <f>IF(Financials[[#This Row],[ Profit ]]&lt;0,1,0)</f>
        <v/>
      </c>
    </row>
    <row r="310">
      <c r="A310" t="inlineStr">
        <is>
          <t>Channel Partners</t>
        </is>
      </c>
      <c r="B310" t="inlineStr">
        <is>
          <t>Canada</t>
        </is>
      </c>
      <c r="C310" t="inlineStr">
        <is>
          <t xml:space="preserve"> Carretera </t>
        </is>
      </c>
      <c r="D310" t="inlineStr">
        <is>
          <t xml:space="preserve"> Medium </t>
        </is>
      </c>
      <c r="E310" t="n">
        <v>1884</v>
      </c>
      <c r="F310" s="69" t="n">
        <v>3</v>
      </c>
      <c r="G310" s="69" t="n">
        <v>12</v>
      </c>
      <c r="H310" s="69" t="n">
        <v>22608</v>
      </c>
      <c r="I310" s="5" t="n">
        <v>1582.56</v>
      </c>
      <c r="J310" s="69" t="n">
        <v>21025.44</v>
      </c>
      <c r="K310" s="69" t="n">
        <v>5652</v>
      </c>
      <c r="L310" s="69" t="n">
        <v>15373.44</v>
      </c>
      <c r="M310" s="1" t="n">
        <v>41647</v>
      </c>
      <c r="N310" t="n">
        <v>8</v>
      </c>
      <c r="O310" t="inlineStr">
        <is>
          <t xml:space="preserve"> August </t>
        </is>
      </c>
      <c r="P310" t="n">
        <v>2014</v>
      </c>
      <c r="Q310">
        <f>IF(Financials[[#This Row],[ Units_Sold ]]&lt;&gt;INT(Financials[[#This Row],[ Units_Sold ]]),1,0)</f>
        <v/>
      </c>
      <c r="R310" s="10">
        <f>Financials[[#This Row],[ Profit ]]/Financials[[#This Row],[  Sales ]]</f>
        <v/>
      </c>
      <c r="S310" s="2">
        <f>Financials[[#This Row],[ COGS ]]/Financials[[#This Row],[  Sales ]]</f>
        <v/>
      </c>
      <c r="T310" s="3">
        <f>Financials[[#This Row],[ Discounts ]]/Financials[[#This Row],[  Sales ]]</f>
        <v/>
      </c>
      <c r="U310">
        <f>Financials[[#This Row],[  Sales ]]/Financials[[#This Row],[ Units_Sold ]]</f>
        <v/>
      </c>
      <c r="V310">
        <f>Financials[[#This Row],[ Profit ]]/Financials[[#This Row],[ Units_Sold ]]</f>
        <v/>
      </c>
      <c r="W310">
        <f>IF(Financials[[#This Row],[ Profit ]]&lt;0,1,0)</f>
        <v/>
      </c>
    </row>
    <row r="311">
      <c r="A311" t="inlineStr">
        <is>
          <t>Government</t>
        </is>
      </c>
      <c r="B311" t="inlineStr">
        <is>
          <t>Mexico</t>
        </is>
      </c>
      <c r="C311" t="inlineStr">
        <is>
          <t xml:space="preserve"> Carretera </t>
        </is>
      </c>
      <c r="D311" t="inlineStr">
        <is>
          <t xml:space="preserve"> Medium </t>
        </is>
      </c>
      <c r="E311" t="n">
        <v>1834</v>
      </c>
      <c r="F311" s="69" t="n">
        <v>3</v>
      </c>
      <c r="G311" s="69" t="n">
        <v>20</v>
      </c>
      <c r="H311" s="69" t="n">
        <v>36680</v>
      </c>
      <c r="I311" s="5" t="n">
        <v>2567.6</v>
      </c>
      <c r="J311" s="69" t="n">
        <v>34112.4</v>
      </c>
      <c r="K311" s="69" t="n">
        <v>18340</v>
      </c>
      <c r="L311" s="69" t="n">
        <v>15772.4</v>
      </c>
      <c r="M311" s="1" t="n">
        <v>41283</v>
      </c>
      <c r="N311" t="n">
        <v>9</v>
      </c>
      <c r="O311" t="inlineStr">
        <is>
          <t xml:space="preserve"> September </t>
        </is>
      </c>
      <c r="P311" t="n">
        <v>2013</v>
      </c>
      <c r="Q311">
        <f>IF(Financials[[#This Row],[ Units_Sold ]]&lt;&gt;INT(Financials[[#This Row],[ Units_Sold ]]),1,0)</f>
        <v/>
      </c>
      <c r="R311" s="10">
        <f>Financials[[#This Row],[ Profit ]]/Financials[[#This Row],[  Sales ]]</f>
        <v/>
      </c>
      <c r="S311" s="2">
        <f>Financials[[#This Row],[ COGS ]]/Financials[[#This Row],[  Sales ]]</f>
        <v/>
      </c>
      <c r="T311" s="3">
        <f>Financials[[#This Row],[ Discounts ]]/Financials[[#This Row],[  Sales ]]</f>
        <v/>
      </c>
      <c r="U311">
        <f>Financials[[#This Row],[  Sales ]]/Financials[[#This Row],[ Units_Sold ]]</f>
        <v/>
      </c>
      <c r="V311">
        <f>Financials[[#This Row],[ Profit ]]/Financials[[#This Row],[ Units_Sold ]]</f>
        <v/>
      </c>
      <c r="W311">
        <f>IF(Financials[[#This Row],[ Profit ]]&lt;0,1,0)</f>
        <v/>
      </c>
    </row>
    <row r="312">
      <c r="A312" t="inlineStr">
        <is>
          <t>Channel Partners</t>
        </is>
      </c>
      <c r="B312" t="inlineStr">
        <is>
          <t>Mexico</t>
        </is>
      </c>
      <c r="C312" t="inlineStr">
        <is>
          <t xml:space="preserve"> Montana </t>
        </is>
      </c>
      <c r="D312" t="inlineStr">
        <is>
          <t xml:space="preserve"> Medium </t>
        </is>
      </c>
      <c r="E312" t="n">
        <v>2340</v>
      </c>
      <c r="F312" s="69" t="n">
        <v>5</v>
      </c>
      <c r="G312" s="69" t="n">
        <v>12</v>
      </c>
      <c r="H312" s="69" t="n">
        <v>28080</v>
      </c>
      <c r="I312" s="5" t="n">
        <v>1965.6</v>
      </c>
      <c r="J312" s="69" t="n">
        <v>26114.4</v>
      </c>
      <c r="K312" s="69" t="n">
        <v>7020</v>
      </c>
      <c r="L312" s="69" t="n">
        <v>19094.4</v>
      </c>
      <c r="M312" s="1" t="n">
        <v>41640</v>
      </c>
      <c r="N312" t="n">
        <v>1</v>
      </c>
      <c r="O312" t="inlineStr">
        <is>
          <t xml:space="preserve"> January </t>
        </is>
      </c>
      <c r="P312" t="n">
        <v>2014</v>
      </c>
      <c r="Q312">
        <f>IF(Financials[[#This Row],[ Units_Sold ]]&lt;&gt;INT(Financials[[#This Row],[ Units_Sold ]]),1,0)</f>
        <v/>
      </c>
      <c r="R312" s="10">
        <f>Financials[[#This Row],[ Profit ]]/Financials[[#This Row],[  Sales ]]</f>
        <v/>
      </c>
      <c r="S312" s="2">
        <f>Financials[[#This Row],[ COGS ]]/Financials[[#This Row],[  Sales ]]</f>
        <v/>
      </c>
      <c r="T312" s="3">
        <f>Financials[[#This Row],[ Discounts ]]/Financials[[#This Row],[  Sales ]]</f>
        <v/>
      </c>
      <c r="U312">
        <f>Financials[[#This Row],[  Sales ]]/Financials[[#This Row],[ Units_Sold ]]</f>
        <v/>
      </c>
      <c r="V312">
        <f>Financials[[#This Row],[ Profit ]]/Financials[[#This Row],[ Units_Sold ]]</f>
        <v/>
      </c>
      <c r="W312">
        <f>IF(Financials[[#This Row],[ Profit ]]&lt;0,1,0)</f>
        <v/>
      </c>
    </row>
    <row r="313">
      <c r="A313" t="inlineStr">
        <is>
          <t>Channel Partners</t>
        </is>
      </c>
      <c r="B313" t="inlineStr">
        <is>
          <t>France</t>
        </is>
      </c>
      <c r="C313" t="inlineStr">
        <is>
          <t xml:space="preserve"> Montana </t>
        </is>
      </c>
      <c r="D313" t="inlineStr">
        <is>
          <t xml:space="preserve"> Medium </t>
        </is>
      </c>
      <c r="E313" t="n">
        <v>2342</v>
      </c>
      <c r="F313" s="69" t="n">
        <v>5</v>
      </c>
      <c r="G313" s="69" t="n">
        <v>12</v>
      </c>
      <c r="H313" s="69" t="n">
        <v>28104</v>
      </c>
      <c r="I313" s="5" t="n">
        <v>1967.28</v>
      </c>
      <c r="J313" s="69" t="n">
        <v>26136.72</v>
      </c>
      <c r="K313" s="69" t="n">
        <v>7026</v>
      </c>
      <c r="L313" s="69" t="n">
        <v>19110.72</v>
      </c>
      <c r="M313" s="1" t="n">
        <v>41650</v>
      </c>
      <c r="N313" t="n">
        <v>11</v>
      </c>
      <c r="O313" t="inlineStr">
        <is>
          <t xml:space="preserve"> November </t>
        </is>
      </c>
      <c r="P313" t="n">
        <v>2014</v>
      </c>
      <c r="Q313">
        <f>IF(Financials[[#This Row],[ Units_Sold ]]&lt;&gt;INT(Financials[[#This Row],[ Units_Sold ]]),1,0)</f>
        <v/>
      </c>
      <c r="R313" s="10">
        <f>Financials[[#This Row],[ Profit ]]/Financials[[#This Row],[  Sales ]]</f>
        <v/>
      </c>
      <c r="S313" s="2">
        <f>Financials[[#This Row],[ COGS ]]/Financials[[#This Row],[  Sales ]]</f>
        <v/>
      </c>
      <c r="T313" s="3">
        <f>Financials[[#This Row],[ Discounts ]]/Financials[[#This Row],[  Sales ]]</f>
        <v/>
      </c>
      <c r="U313">
        <f>Financials[[#This Row],[  Sales ]]/Financials[[#This Row],[ Units_Sold ]]</f>
        <v/>
      </c>
      <c r="V313">
        <f>Financials[[#This Row],[ Profit ]]/Financials[[#This Row],[ Units_Sold ]]</f>
        <v/>
      </c>
      <c r="W313">
        <f>IF(Financials[[#This Row],[ Profit ]]&lt;0,1,0)</f>
        <v/>
      </c>
    </row>
    <row r="314">
      <c r="A314" t="inlineStr">
        <is>
          <t>Government</t>
        </is>
      </c>
      <c r="B314" t="inlineStr">
        <is>
          <t>France</t>
        </is>
      </c>
      <c r="C314" t="inlineStr">
        <is>
          <t xml:space="preserve"> Paseo </t>
        </is>
      </c>
      <c r="D314" t="inlineStr">
        <is>
          <t xml:space="preserve"> Medium </t>
        </is>
      </c>
      <c r="E314" t="n">
        <v>1031</v>
      </c>
      <c r="F314" s="69" t="n">
        <v>10</v>
      </c>
      <c r="G314" s="69" t="n">
        <v>7</v>
      </c>
      <c r="H314" s="69" t="n">
        <v>7217</v>
      </c>
      <c r="I314" s="5" t="n">
        <v>505.19</v>
      </c>
      <c r="J314" s="69" t="n">
        <v>6711.81</v>
      </c>
      <c r="K314" s="69" t="n">
        <v>5155</v>
      </c>
      <c r="L314" s="69" t="n">
        <v>1556.81</v>
      </c>
      <c r="M314" s="1" t="n">
        <v>41283</v>
      </c>
      <c r="N314" t="n">
        <v>9</v>
      </c>
      <c r="O314" t="inlineStr">
        <is>
          <t xml:space="preserve"> September </t>
        </is>
      </c>
      <c r="P314" t="n">
        <v>2013</v>
      </c>
      <c r="Q314">
        <f>IF(Financials[[#This Row],[ Units_Sold ]]&lt;&gt;INT(Financials[[#This Row],[ Units_Sold ]]),1,0)</f>
        <v/>
      </c>
      <c r="R314" s="10">
        <f>Financials[[#This Row],[ Profit ]]/Financials[[#This Row],[  Sales ]]</f>
        <v/>
      </c>
      <c r="S314" s="2">
        <f>Financials[[#This Row],[ COGS ]]/Financials[[#This Row],[  Sales ]]</f>
        <v/>
      </c>
      <c r="T314" s="3">
        <f>Financials[[#This Row],[ Discounts ]]/Financials[[#This Row],[  Sales ]]</f>
        <v/>
      </c>
      <c r="U314">
        <f>Financials[[#This Row],[  Sales ]]/Financials[[#This Row],[ Units_Sold ]]</f>
        <v/>
      </c>
      <c r="V314">
        <f>Financials[[#This Row],[ Profit ]]/Financials[[#This Row],[ Units_Sold ]]</f>
        <v/>
      </c>
      <c r="W314">
        <f>IF(Financials[[#This Row],[ Profit ]]&lt;0,1,0)</f>
        <v/>
      </c>
    </row>
    <row r="315">
      <c r="A315" t="inlineStr">
        <is>
          <t>Midmarket</t>
        </is>
      </c>
      <c r="B315" t="inlineStr">
        <is>
          <t>Canada</t>
        </is>
      </c>
      <c r="C315" t="inlineStr">
        <is>
          <t xml:space="preserve"> Velo </t>
        </is>
      </c>
      <c r="D315" t="inlineStr">
        <is>
          <t xml:space="preserve"> Medium </t>
        </is>
      </c>
      <c r="E315" t="n">
        <v>1262</v>
      </c>
      <c r="F315" s="69" t="n">
        <v>120</v>
      </c>
      <c r="G315" s="69" t="n">
        <v>15</v>
      </c>
      <c r="H315" s="69" t="n">
        <v>18930</v>
      </c>
      <c r="I315" s="5" t="n">
        <v>1325.1</v>
      </c>
      <c r="J315" s="69" t="n">
        <v>17604.9</v>
      </c>
      <c r="K315" s="69" t="n">
        <v>12620</v>
      </c>
      <c r="L315" s="69" t="n">
        <v>4984.9</v>
      </c>
      <c r="M315" s="1" t="n">
        <v>41644</v>
      </c>
      <c r="N315" t="n">
        <v>5</v>
      </c>
      <c r="O315" t="inlineStr">
        <is>
          <t xml:space="preserve"> May </t>
        </is>
      </c>
      <c r="P315" t="n">
        <v>2014</v>
      </c>
      <c r="Q315">
        <f>IF(Financials[[#This Row],[ Units_Sold ]]&lt;&gt;INT(Financials[[#This Row],[ Units_Sold ]]),1,0)</f>
        <v/>
      </c>
      <c r="R315" s="10">
        <f>Financials[[#This Row],[ Profit ]]/Financials[[#This Row],[  Sales ]]</f>
        <v/>
      </c>
      <c r="S315" s="2">
        <f>Financials[[#This Row],[ COGS ]]/Financials[[#This Row],[  Sales ]]</f>
        <v/>
      </c>
      <c r="T315" s="3">
        <f>Financials[[#This Row],[ Discounts ]]/Financials[[#This Row],[  Sales ]]</f>
        <v/>
      </c>
      <c r="U315">
        <f>Financials[[#This Row],[  Sales ]]/Financials[[#This Row],[ Units_Sold ]]</f>
        <v/>
      </c>
      <c r="V315">
        <f>Financials[[#This Row],[ Profit ]]/Financials[[#This Row],[ Units_Sold ]]</f>
        <v/>
      </c>
      <c r="W315">
        <f>IF(Financials[[#This Row],[ Profit ]]&lt;0,1,0)</f>
        <v/>
      </c>
    </row>
    <row r="316">
      <c r="A316" t="inlineStr">
        <is>
          <t>Government</t>
        </is>
      </c>
      <c r="B316" t="inlineStr">
        <is>
          <t>Canada</t>
        </is>
      </c>
      <c r="C316" t="inlineStr">
        <is>
          <t xml:space="preserve"> Velo </t>
        </is>
      </c>
      <c r="D316" t="inlineStr">
        <is>
          <t xml:space="preserve"> Medium </t>
        </is>
      </c>
      <c r="E316" t="n">
        <v>1135</v>
      </c>
      <c r="F316" s="69" t="n">
        <v>120</v>
      </c>
      <c r="G316" s="69" t="n">
        <v>7</v>
      </c>
      <c r="H316" s="69" t="n">
        <v>7945</v>
      </c>
      <c r="I316" s="5" t="n">
        <v>556.15</v>
      </c>
      <c r="J316" s="69" t="n">
        <v>7388.85</v>
      </c>
      <c r="K316" s="69" t="n">
        <v>5675</v>
      </c>
      <c r="L316" s="69" t="n">
        <v>1713.85</v>
      </c>
      <c r="M316" s="1" t="n">
        <v>41645</v>
      </c>
      <c r="N316" t="n">
        <v>6</v>
      </c>
      <c r="O316" t="inlineStr">
        <is>
          <t xml:space="preserve"> June </t>
        </is>
      </c>
      <c r="P316" t="n">
        <v>2014</v>
      </c>
      <c r="Q316">
        <f>IF(Financials[[#This Row],[ Units_Sold ]]&lt;&gt;INT(Financials[[#This Row],[ Units_Sold ]]),1,0)</f>
        <v/>
      </c>
      <c r="R316" s="10">
        <f>Financials[[#This Row],[ Profit ]]/Financials[[#This Row],[  Sales ]]</f>
        <v/>
      </c>
      <c r="S316" s="2">
        <f>Financials[[#This Row],[ COGS ]]/Financials[[#This Row],[  Sales ]]</f>
        <v/>
      </c>
      <c r="T316" s="3">
        <f>Financials[[#This Row],[ Discounts ]]/Financials[[#This Row],[  Sales ]]</f>
        <v/>
      </c>
      <c r="U316">
        <f>Financials[[#This Row],[  Sales ]]/Financials[[#This Row],[ Units_Sold ]]</f>
        <v/>
      </c>
      <c r="V316">
        <f>Financials[[#This Row],[ Profit ]]/Financials[[#This Row],[ Units_Sold ]]</f>
        <v/>
      </c>
      <c r="W316">
        <f>IF(Financials[[#This Row],[ Profit ]]&lt;0,1,0)</f>
        <v/>
      </c>
    </row>
    <row r="317">
      <c r="A317" t="inlineStr">
        <is>
          <t>Government</t>
        </is>
      </c>
      <c r="B317" t="inlineStr">
        <is>
          <t>United States of America</t>
        </is>
      </c>
      <c r="C317" t="inlineStr">
        <is>
          <t xml:space="preserve"> Velo </t>
        </is>
      </c>
      <c r="D317" t="inlineStr">
        <is>
          <t xml:space="preserve"> Medium </t>
        </is>
      </c>
      <c r="E317" t="n">
        <v>547</v>
      </c>
      <c r="F317" s="69" t="n">
        <v>120</v>
      </c>
      <c r="G317" s="69" t="n">
        <v>7</v>
      </c>
      <c r="H317" s="69" t="n">
        <v>3829</v>
      </c>
      <c r="I317" s="5" t="n">
        <v>268.03</v>
      </c>
      <c r="J317" s="69" t="n">
        <v>3560.97</v>
      </c>
      <c r="K317" s="69" t="n">
        <v>2735</v>
      </c>
      <c r="L317" s="69" t="n">
        <v>825.97</v>
      </c>
      <c r="M317" s="1" t="n">
        <v>41650</v>
      </c>
      <c r="N317" t="n">
        <v>11</v>
      </c>
      <c r="O317" t="inlineStr">
        <is>
          <t xml:space="preserve"> November </t>
        </is>
      </c>
      <c r="P317" t="n">
        <v>2014</v>
      </c>
      <c r="Q317">
        <f>IF(Financials[[#This Row],[ Units_Sold ]]&lt;&gt;INT(Financials[[#This Row],[ Units_Sold ]]),1,0)</f>
        <v/>
      </c>
      <c r="R317" s="10">
        <f>Financials[[#This Row],[ Profit ]]/Financials[[#This Row],[  Sales ]]</f>
        <v/>
      </c>
      <c r="S317" s="2">
        <f>Financials[[#This Row],[ COGS ]]/Financials[[#This Row],[  Sales ]]</f>
        <v/>
      </c>
      <c r="T317" s="3">
        <f>Financials[[#This Row],[ Discounts ]]/Financials[[#This Row],[  Sales ]]</f>
        <v/>
      </c>
      <c r="U317">
        <f>Financials[[#This Row],[  Sales ]]/Financials[[#This Row],[ Units_Sold ]]</f>
        <v/>
      </c>
      <c r="V317">
        <f>Financials[[#This Row],[ Profit ]]/Financials[[#This Row],[ Units_Sold ]]</f>
        <v/>
      </c>
      <c r="W317">
        <f>IF(Financials[[#This Row],[ Profit ]]&lt;0,1,0)</f>
        <v/>
      </c>
    </row>
    <row r="318">
      <c r="A318" t="inlineStr">
        <is>
          <t>Government</t>
        </is>
      </c>
      <c r="B318" t="inlineStr">
        <is>
          <t>Canada</t>
        </is>
      </c>
      <c r="C318" t="inlineStr">
        <is>
          <t xml:space="preserve"> Velo </t>
        </is>
      </c>
      <c r="D318" t="inlineStr">
        <is>
          <t xml:space="preserve"> Medium </t>
        </is>
      </c>
      <c r="E318" t="n">
        <v>1582</v>
      </c>
      <c r="F318" s="69" t="n">
        <v>120</v>
      </c>
      <c r="G318" s="69" t="n">
        <v>7</v>
      </c>
      <c r="H318" s="69" t="n">
        <v>11074</v>
      </c>
      <c r="I318" s="5" t="n">
        <v>775.1799999999999</v>
      </c>
      <c r="J318" s="69" t="n">
        <v>10298.82</v>
      </c>
      <c r="K318" s="69" t="n">
        <v>7910</v>
      </c>
      <c r="L318" s="69" t="n">
        <v>2388.82</v>
      </c>
      <c r="M318" s="1" t="n">
        <v>41651</v>
      </c>
      <c r="N318" t="n">
        <v>12</v>
      </c>
      <c r="O318" t="inlineStr">
        <is>
          <t xml:space="preserve"> December </t>
        </is>
      </c>
      <c r="P318" t="n">
        <v>2014</v>
      </c>
      <c r="Q318">
        <f>IF(Financials[[#This Row],[ Units_Sold ]]&lt;&gt;INT(Financials[[#This Row],[ Units_Sold ]]),1,0)</f>
        <v/>
      </c>
      <c r="R318" s="10">
        <f>Financials[[#This Row],[ Profit ]]/Financials[[#This Row],[  Sales ]]</f>
        <v/>
      </c>
      <c r="S318" s="2">
        <f>Financials[[#This Row],[ COGS ]]/Financials[[#This Row],[  Sales ]]</f>
        <v/>
      </c>
      <c r="T318" s="3">
        <f>Financials[[#This Row],[ Discounts ]]/Financials[[#This Row],[  Sales ]]</f>
        <v/>
      </c>
      <c r="U318">
        <f>Financials[[#This Row],[  Sales ]]/Financials[[#This Row],[ Units_Sold ]]</f>
        <v/>
      </c>
      <c r="V318">
        <f>Financials[[#This Row],[ Profit ]]/Financials[[#This Row],[ Units_Sold ]]</f>
        <v/>
      </c>
      <c r="W318">
        <f>IF(Financials[[#This Row],[ Profit ]]&lt;0,1,0)</f>
        <v/>
      </c>
    </row>
    <row r="319">
      <c r="A319" t="inlineStr">
        <is>
          <t>Channel Partners</t>
        </is>
      </c>
      <c r="B319" t="inlineStr">
        <is>
          <t>France</t>
        </is>
      </c>
      <c r="C319" t="inlineStr">
        <is>
          <t xml:space="preserve"> VTT </t>
        </is>
      </c>
      <c r="D319" t="inlineStr">
        <is>
          <t xml:space="preserve"> Medium </t>
        </is>
      </c>
      <c r="E319" t="n">
        <v>1738.5</v>
      </c>
      <c r="F319" s="69" t="n">
        <v>250</v>
      </c>
      <c r="G319" s="69" t="n">
        <v>12</v>
      </c>
      <c r="H319" s="69" t="n">
        <v>20862</v>
      </c>
      <c r="I319" s="5" t="n">
        <v>1460.34</v>
      </c>
      <c r="J319" s="69" t="n">
        <v>19401.66</v>
      </c>
      <c r="K319" s="69" t="n">
        <v>5215.5</v>
      </c>
      <c r="L319" s="69" t="n">
        <v>14186.16</v>
      </c>
      <c r="M319" s="1" t="n">
        <v>41643</v>
      </c>
      <c r="N319" t="n">
        <v>4</v>
      </c>
      <c r="O319" t="inlineStr">
        <is>
          <t xml:space="preserve"> April </t>
        </is>
      </c>
      <c r="P319" t="n">
        <v>2014</v>
      </c>
      <c r="Q319">
        <f>IF(Financials[[#This Row],[ Units_Sold ]]&lt;&gt;INT(Financials[[#This Row],[ Units_Sold ]]),1,0)</f>
        <v/>
      </c>
      <c r="R319" s="10">
        <f>Financials[[#This Row],[ Profit ]]/Financials[[#This Row],[  Sales ]]</f>
        <v/>
      </c>
      <c r="S319" s="2">
        <f>Financials[[#This Row],[ COGS ]]/Financials[[#This Row],[  Sales ]]</f>
        <v/>
      </c>
      <c r="T319" s="3">
        <f>Financials[[#This Row],[ Discounts ]]/Financials[[#This Row],[  Sales ]]</f>
        <v/>
      </c>
      <c r="U319">
        <f>Financials[[#This Row],[  Sales ]]/Financials[[#This Row],[ Units_Sold ]]</f>
        <v/>
      </c>
      <c r="V319">
        <f>Financials[[#This Row],[ Profit ]]/Financials[[#This Row],[ Units_Sold ]]</f>
        <v/>
      </c>
      <c r="W319">
        <f>IF(Financials[[#This Row],[ Profit ]]&lt;0,1,0)</f>
        <v/>
      </c>
    </row>
    <row r="320">
      <c r="A320" t="inlineStr">
        <is>
          <t>Channel Partners</t>
        </is>
      </c>
      <c r="B320" t="inlineStr">
        <is>
          <t>Germany</t>
        </is>
      </c>
      <c r="C320" t="inlineStr">
        <is>
          <t xml:space="preserve"> VTT </t>
        </is>
      </c>
      <c r="D320" t="inlineStr">
        <is>
          <t xml:space="preserve"> Medium </t>
        </is>
      </c>
      <c r="E320" t="n">
        <v>2215</v>
      </c>
      <c r="F320" s="69" t="n">
        <v>250</v>
      </c>
      <c r="G320" s="69" t="n">
        <v>12</v>
      </c>
      <c r="H320" s="69" t="n">
        <v>26580</v>
      </c>
      <c r="I320" s="5" t="n">
        <v>1860.6</v>
      </c>
      <c r="J320" s="69" t="n">
        <v>24719.4</v>
      </c>
      <c r="K320" s="69" t="n">
        <v>6645</v>
      </c>
      <c r="L320" s="69" t="n">
        <v>18074.4</v>
      </c>
      <c r="M320" s="1" t="n">
        <v>41283</v>
      </c>
      <c r="N320" t="n">
        <v>9</v>
      </c>
      <c r="O320" t="inlineStr">
        <is>
          <t xml:space="preserve"> September </t>
        </is>
      </c>
      <c r="P320" t="n">
        <v>2013</v>
      </c>
      <c r="Q320">
        <f>IF(Financials[[#This Row],[ Units_Sold ]]&lt;&gt;INT(Financials[[#This Row],[ Units_Sold ]]),1,0)</f>
        <v/>
      </c>
      <c r="R320" s="10">
        <f>Financials[[#This Row],[ Profit ]]/Financials[[#This Row],[  Sales ]]</f>
        <v/>
      </c>
      <c r="S320" s="2">
        <f>Financials[[#This Row],[ COGS ]]/Financials[[#This Row],[  Sales ]]</f>
        <v/>
      </c>
      <c r="T320" s="3">
        <f>Financials[[#This Row],[ Discounts ]]/Financials[[#This Row],[  Sales ]]</f>
        <v/>
      </c>
      <c r="U320">
        <f>Financials[[#This Row],[  Sales ]]/Financials[[#This Row],[ Units_Sold ]]</f>
        <v/>
      </c>
      <c r="V320">
        <f>Financials[[#This Row],[ Profit ]]/Financials[[#This Row],[ Units_Sold ]]</f>
        <v/>
      </c>
      <c r="W320">
        <f>IF(Financials[[#This Row],[ Profit ]]&lt;0,1,0)</f>
        <v/>
      </c>
    </row>
    <row r="321">
      <c r="A321" t="inlineStr">
        <is>
          <t>Government</t>
        </is>
      </c>
      <c r="B321" t="inlineStr">
        <is>
          <t>Canada</t>
        </is>
      </c>
      <c r="C321" t="inlineStr">
        <is>
          <t xml:space="preserve"> VTT </t>
        </is>
      </c>
      <c r="D321" t="inlineStr">
        <is>
          <t xml:space="preserve"> Medium </t>
        </is>
      </c>
      <c r="E321" t="n">
        <v>1582</v>
      </c>
      <c r="F321" s="69" t="n">
        <v>250</v>
      </c>
      <c r="G321" s="69" t="n">
        <v>7</v>
      </c>
      <c r="H321" s="69" t="n">
        <v>11074</v>
      </c>
      <c r="I321" s="5" t="n">
        <v>775.1799999999999</v>
      </c>
      <c r="J321" s="69" t="n">
        <v>10298.82</v>
      </c>
      <c r="K321" s="69" t="n">
        <v>7910</v>
      </c>
      <c r="L321" s="69" t="n">
        <v>2388.82</v>
      </c>
      <c r="M321" s="1" t="n">
        <v>41651</v>
      </c>
      <c r="N321" t="n">
        <v>12</v>
      </c>
      <c r="O321" t="inlineStr">
        <is>
          <t xml:space="preserve"> December </t>
        </is>
      </c>
      <c r="P321" t="n">
        <v>2014</v>
      </c>
      <c r="Q321">
        <f>IF(Financials[[#This Row],[ Units_Sold ]]&lt;&gt;INT(Financials[[#This Row],[ Units_Sold ]]),1,0)</f>
        <v/>
      </c>
      <c r="R321" s="10">
        <f>Financials[[#This Row],[ Profit ]]/Financials[[#This Row],[  Sales ]]</f>
        <v/>
      </c>
      <c r="S321" s="2">
        <f>Financials[[#This Row],[ COGS ]]/Financials[[#This Row],[  Sales ]]</f>
        <v/>
      </c>
      <c r="T321" s="3">
        <f>Financials[[#This Row],[ Discounts ]]/Financials[[#This Row],[  Sales ]]</f>
        <v/>
      </c>
      <c r="U321">
        <f>Financials[[#This Row],[  Sales ]]/Financials[[#This Row],[ Units_Sold ]]</f>
        <v/>
      </c>
      <c r="V321">
        <f>Financials[[#This Row],[ Profit ]]/Financials[[#This Row],[ Units_Sold ]]</f>
        <v/>
      </c>
      <c r="W321">
        <f>IF(Financials[[#This Row],[ Profit ]]&lt;0,1,0)</f>
        <v/>
      </c>
    </row>
    <row r="322">
      <c r="A322" t="inlineStr">
        <is>
          <t>Government</t>
        </is>
      </c>
      <c r="B322" t="inlineStr">
        <is>
          <t>Canada</t>
        </is>
      </c>
      <c r="C322" t="inlineStr">
        <is>
          <t xml:space="preserve"> Amarilla </t>
        </is>
      </c>
      <c r="D322" t="inlineStr">
        <is>
          <t xml:space="preserve"> Medium </t>
        </is>
      </c>
      <c r="E322" t="n">
        <v>1135</v>
      </c>
      <c r="F322" s="69" t="n">
        <v>260</v>
      </c>
      <c r="G322" s="69" t="n">
        <v>7</v>
      </c>
      <c r="H322" s="69" t="n">
        <v>7945</v>
      </c>
      <c r="I322" s="5" t="n">
        <v>556.15</v>
      </c>
      <c r="J322" s="69" t="n">
        <v>7388.85</v>
      </c>
      <c r="K322" s="69" t="n">
        <v>5675</v>
      </c>
      <c r="L322" s="69" t="n">
        <v>1713.85</v>
      </c>
      <c r="M322" s="1" t="n">
        <v>41645</v>
      </c>
      <c r="N322" t="n">
        <v>6</v>
      </c>
      <c r="O322" t="inlineStr">
        <is>
          <t xml:space="preserve"> June </t>
        </is>
      </c>
      <c r="P322" t="n">
        <v>2014</v>
      </c>
      <c r="Q322">
        <f>IF(Financials[[#This Row],[ Units_Sold ]]&lt;&gt;INT(Financials[[#This Row],[ Units_Sold ]]),1,0)</f>
        <v/>
      </c>
      <c r="R322" s="10">
        <f>Financials[[#This Row],[ Profit ]]/Financials[[#This Row],[  Sales ]]</f>
        <v/>
      </c>
      <c r="S322" s="2">
        <f>Financials[[#This Row],[ COGS ]]/Financials[[#This Row],[  Sales ]]</f>
        <v/>
      </c>
      <c r="T322" s="3">
        <f>Financials[[#This Row],[ Discounts ]]/Financials[[#This Row],[  Sales ]]</f>
        <v/>
      </c>
      <c r="U322">
        <f>Financials[[#This Row],[  Sales ]]/Financials[[#This Row],[ Units_Sold ]]</f>
        <v/>
      </c>
      <c r="V322">
        <f>Financials[[#This Row],[ Profit ]]/Financials[[#This Row],[ Units_Sold ]]</f>
        <v/>
      </c>
      <c r="W322">
        <f>IF(Financials[[#This Row],[ Profit ]]&lt;0,1,0)</f>
        <v/>
      </c>
    </row>
    <row r="323">
      <c r="A323" t="inlineStr">
        <is>
          <t>Government</t>
        </is>
      </c>
      <c r="B323" t="inlineStr">
        <is>
          <t>United States of America</t>
        </is>
      </c>
      <c r="C323" t="inlineStr">
        <is>
          <t xml:space="preserve"> Carretera </t>
        </is>
      </c>
      <c r="D323" t="inlineStr">
        <is>
          <t xml:space="preserve"> Medium </t>
        </is>
      </c>
      <c r="E323" t="n">
        <v>1761</v>
      </c>
      <c r="F323" s="69" t="n">
        <v>3</v>
      </c>
      <c r="G323" s="69" t="n">
        <v>350</v>
      </c>
      <c r="H323" s="69" t="n">
        <v>616350</v>
      </c>
      <c r="I323" s="5" t="n">
        <v>43144.5</v>
      </c>
      <c r="J323" s="69" t="n">
        <v>573205.5</v>
      </c>
      <c r="K323" s="69" t="n">
        <v>457860</v>
      </c>
      <c r="L323" s="69" t="n">
        <v>115345.5</v>
      </c>
      <c r="M323" s="1" t="n">
        <v>41642</v>
      </c>
      <c r="N323" t="n">
        <v>3</v>
      </c>
      <c r="O323" t="inlineStr">
        <is>
          <t xml:space="preserve"> March </t>
        </is>
      </c>
      <c r="P323" t="n">
        <v>2014</v>
      </c>
      <c r="Q323">
        <f>IF(Financials[[#This Row],[ Units_Sold ]]&lt;&gt;INT(Financials[[#This Row],[ Units_Sold ]]),1,0)</f>
        <v/>
      </c>
      <c r="R323" s="10">
        <f>Financials[[#This Row],[ Profit ]]/Financials[[#This Row],[  Sales ]]</f>
        <v/>
      </c>
      <c r="S323" s="2">
        <f>Financials[[#This Row],[ COGS ]]/Financials[[#This Row],[  Sales ]]</f>
        <v/>
      </c>
      <c r="T323" s="3">
        <f>Financials[[#This Row],[ Discounts ]]/Financials[[#This Row],[  Sales ]]</f>
        <v/>
      </c>
      <c r="U323">
        <f>Financials[[#This Row],[  Sales ]]/Financials[[#This Row],[ Units_Sold ]]</f>
        <v/>
      </c>
      <c r="V323">
        <f>Financials[[#This Row],[ Profit ]]/Financials[[#This Row],[ Units_Sold ]]</f>
        <v/>
      </c>
      <c r="W323">
        <f>IF(Financials[[#This Row],[ Profit ]]&lt;0,1,0)</f>
        <v/>
      </c>
    </row>
    <row r="324">
      <c r="A324" t="inlineStr">
        <is>
          <t>Small Business</t>
        </is>
      </c>
      <c r="B324" t="inlineStr">
        <is>
          <t>France</t>
        </is>
      </c>
      <c r="C324" t="inlineStr">
        <is>
          <t xml:space="preserve"> Carretera </t>
        </is>
      </c>
      <c r="D324" t="inlineStr">
        <is>
          <t xml:space="preserve"> Medium </t>
        </is>
      </c>
      <c r="E324" t="n">
        <v>448</v>
      </c>
      <c r="F324" s="69" t="n">
        <v>3</v>
      </c>
      <c r="G324" s="69" t="n">
        <v>300</v>
      </c>
      <c r="H324" s="69" t="n">
        <v>134400</v>
      </c>
      <c r="I324" s="5" t="n">
        <v>9408</v>
      </c>
      <c r="J324" s="69" t="n">
        <v>124992</v>
      </c>
      <c r="K324" s="69" t="n">
        <v>112000</v>
      </c>
      <c r="L324" s="69" t="n">
        <v>12992</v>
      </c>
      <c r="M324" s="1" t="n">
        <v>41645</v>
      </c>
      <c r="N324" t="n">
        <v>6</v>
      </c>
      <c r="O324" t="inlineStr">
        <is>
          <t xml:space="preserve"> June </t>
        </is>
      </c>
      <c r="P324" t="n">
        <v>2014</v>
      </c>
      <c r="Q324">
        <f>IF(Financials[[#This Row],[ Units_Sold ]]&lt;&gt;INT(Financials[[#This Row],[ Units_Sold ]]),1,0)</f>
        <v/>
      </c>
      <c r="R324" s="10">
        <f>Financials[[#This Row],[ Profit ]]/Financials[[#This Row],[  Sales ]]</f>
        <v/>
      </c>
      <c r="S324" s="2">
        <f>Financials[[#This Row],[ COGS ]]/Financials[[#This Row],[  Sales ]]</f>
        <v/>
      </c>
      <c r="T324" s="3">
        <f>Financials[[#This Row],[ Discounts ]]/Financials[[#This Row],[  Sales ]]</f>
        <v/>
      </c>
      <c r="U324">
        <f>Financials[[#This Row],[  Sales ]]/Financials[[#This Row],[ Units_Sold ]]</f>
        <v/>
      </c>
      <c r="V324">
        <f>Financials[[#This Row],[ Profit ]]/Financials[[#This Row],[ Units_Sold ]]</f>
        <v/>
      </c>
      <c r="W324">
        <f>IF(Financials[[#This Row],[ Profit ]]&lt;0,1,0)</f>
        <v/>
      </c>
    </row>
    <row r="325">
      <c r="A325" t="inlineStr">
        <is>
          <t>Small Business</t>
        </is>
      </c>
      <c r="B325" t="inlineStr">
        <is>
          <t>France</t>
        </is>
      </c>
      <c r="C325" t="inlineStr">
        <is>
          <t xml:space="preserve"> Carretera </t>
        </is>
      </c>
      <c r="D325" t="inlineStr">
        <is>
          <t xml:space="preserve"> Medium </t>
        </is>
      </c>
      <c r="E325" t="n">
        <v>2181</v>
      </c>
      <c r="F325" s="69" t="n">
        <v>3</v>
      </c>
      <c r="G325" s="69" t="n">
        <v>300</v>
      </c>
      <c r="H325" s="69" t="n">
        <v>654300</v>
      </c>
      <c r="I325" s="5" t="n">
        <v>45801</v>
      </c>
      <c r="J325" s="69" t="n">
        <v>608499</v>
      </c>
      <c r="K325" s="69" t="n">
        <v>545250</v>
      </c>
      <c r="L325" s="69" t="n">
        <v>63249</v>
      </c>
      <c r="M325" s="1" t="n">
        <v>41649</v>
      </c>
      <c r="N325" t="n">
        <v>10</v>
      </c>
      <c r="O325" t="inlineStr">
        <is>
          <t xml:space="preserve"> October </t>
        </is>
      </c>
      <c r="P325" t="n">
        <v>2014</v>
      </c>
      <c r="Q325">
        <f>IF(Financials[[#This Row],[ Units_Sold ]]&lt;&gt;INT(Financials[[#This Row],[ Units_Sold ]]),1,0)</f>
        <v/>
      </c>
      <c r="R325" s="10">
        <f>Financials[[#This Row],[ Profit ]]/Financials[[#This Row],[  Sales ]]</f>
        <v/>
      </c>
      <c r="S325" s="2">
        <f>Financials[[#This Row],[ COGS ]]/Financials[[#This Row],[  Sales ]]</f>
        <v/>
      </c>
      <c r="T325" s="3">
        <f>Financials[[#This Row],[ Discounts ]]/Financials[[#This Row],[  Sales ]]</f>
        <v/>
      </c>
      <c r="U325">
        <f>Financials[[#This Row],[  Sales ]]/Financials[[#This Row],[ Units_Sold ]]</f>
        <v/>
      </c>
      <c r="V325">
        <f>Financials[[#This Row],[ Profit ]]/Financials[[#This Row],[ Units_Sold ]]</f>
        <v/>
      </c>
      <c r="W325">
        <f>IF(Financials[[#This Row],[ Profit ]]&lt;0,1,0)</f>
        <v/>
      </c>
    </row>
    <row r="326">
      <c r="A326" t="inlineStr">
        <is>
          <t>Government</t>
        </is>
      </c>
      <c r="B326" t="inlineStr">
        <is>
          <t>France</t>
        </is>
      </c>
      <c r="C326" t="inlineStr">
        <is>
          <t xml:space="preserve"> Montana </t>
        </is>
      </c>
      <c r="D326" t="inlineStr">
        <is>
          <t xml:space="preserve"> Medium </t>
        </is>
      </c>
      <c r="E326" t="n">
        <v>1976</v>
      </c>
      <c r="F326" s="69" t="n">
        <v>5</v>
      </c>
      <c r="G326" s="69" t="n">
        <v>20</v>
      </c>
      <c r="H326" s="69" t="n">
        <v>39520</v>
      </c>
      <c r="I326" s="5" t="n">
        <v>2766.4</v>
      </c>
      <c r="J326" s="69" t="n">
        <v>36753.6</v>
      </c>
      <c r="K326" s="69" t="n">
        <v>19760</v>
      </c>
      <c r="L326" s="69" t="n">
        <v>16993.6</v>
      </c>
      <c r="M326" s="1" t="n">
        <v>41649</v>
      </c>
      <c r="N326" t="n">
        <v>10</v>
      </c>
      <c r="O326" t="inlineStr">
        <is>
          <t xml:space="preserve"> October </t>
        </is>
      </c>
      <c r="P326" t="n">
        <v>2014</v>
      </c>
      <c r="Q326">
        <f>IF(Financials[[#This Row],[ Units_Sold ]]&lt;&gt;INT(Financials[[#This Row],[ Units_Sold ]]),1,0)</f>
        <v/>
      </c>
      <c r="R326" s="10">
        <f>Financials[[#This Row],[ Profit ]]/Financials[[#This Row],[  Sales ]]</f>
        <v/>
      </c>
      <c r="S326" s="2">
        <f>Financials[[#This Row],[ COGS ]]/Financials[[#This Row],[  Sales ]]</f>
        <v/>
      </c>
      <c r="T326" s="3">
        <f>Financials[[#This Row],[ Discounts ]]/Financials[[#This Row],[  Sales ]]</f>
        <v/>
      </c>
      <c r="U326">
        <f>Financials[[#This Row],[  Sales ]]/Financials[[#This Row],[ Units_Sold ]]</f>
        <v/>
      </c>
      <c r="V326">
        <f>Financials[[#This Row],[ Profit ]]/Financials[[#This Row],[ Units_Sold ]]</f>
        <v/>
      </c>
      <c r="W326">
        <f>IF(Financials[[#This Row],[ Profit ]]&lt;0,1,0)</f>
        <v/>
      </c>
    </row>
    <row r="327">
      <c r="A327" t="inlineStr">
        <is>
          <t>Small Business</t>
        </is>
      </c>
      <c r="B327" t="inlineStr">
        <is>
          <t>France</t>
        </is>
      </c>
      <c r="C327" t="inlineStr">
        <is>
          <t xml:space="preserve"> Montana </t>
        </is>
      </c>
      <c r="D327" t="inlineStr">
        <is>
          <t xml:space="preserve"> Medium </t>
        </is>
      </c>
      <c r="E327" t="n">
        <v>2181</v>
      </c>
      <c r="F327" s="69" t="n">
        <v>5</v>
      </c>
      <c r="G327" s="69" t="n">
        <v>300</v>
      </c>
      <c r="H327" s="69" t="n">
        <v>654300</v>
      </c>
      <c r="I327" s="5" t="n">
        <v>45801</v>
      </c>
      <c r="J327" s="69" t="n">
        <v>608499</v>
      </c>
      <c r="K327" s="69" t="n">
        <v>545250</v>
      </c>
      <c r="L327" s="69" t="n">
        <v>63249</v>
      </c>
      <c r="M327" s="1" t="n">
        <v>41649</v>
      </c>
      <c r="N327" t="n">
        <v>10</v>
      </c>
      <c r="O327" t="inlineStr">
        <is>
          <t xml:space="preserve"> October </t>
        </is>
      </c>
      <c r="P327" t="n">
        <v>2014</v>
      </c>
      <c r="Q327">
        <f>IF(Financials[[#This Row],[ Units_Sold ]]&lt;&gt;INT(Financials[[#This Row],[ Units_Sold ]]),1,0)</f>
        <v/>
      </c>
      <c r="R327" s="10">
        <f>Financials[[#This Row],[ Profit ]]/Financials[[#This Row],[  Sales ]]</f>
        <v/>
      </c>
      <c r="S327" s="2">
        <f>Financials[[#This Row],[ COGS ]]/Financials[[#This Row],[  Sales ]]</f>
        <v/>
      </c>
      <c r="T327" s="3">
        <f>Financials[[#This Row],[ Discounts ]]/Financials[[#This Row],[  Sales ]]</f>
        <v/>
      </c>
      <c r="U327">
        <f>Financials[[#This Row],[  Sales ]]/Financials[[#This Row],[ Units_Sold ]]</f>
        <v/>
      </c>
      <c r="V327">
        <f>Financials[[#This Row],[ Profit ]]/Financials[[#This Row],[ Units_Sold ]]</f>
        <v/>
      </c>
      <c r="W327">
        <f>IF(Financials[[#This Row],[ Profit ]]&lt;0,1,0)</f>
        <v/>
      </c>
    </row>
    <row r="328">
      <c r="A328" t="inlineStr">
        <is>
          <t>Enterprise</t>
        </is>
      </c>
      <c r="B328" t="inlineStr">
        <is>
          <t>Germany</t>
        </is>
      </c>
      <c r="C328" t="inlineStr">
        <is>
          <t xml:space="preserve"> Montana </t>
        </is>
      </c>
      <c r="D328" t="inlineStr">
        <is>
          <t xml:space="preserve"> Medium </t>
        </is>
      </c>
      <c r="E328" t="n">
        <v>2500</v>
      </c>
      <c r="F328" s="69" t="n">
        <v>5</v>
      </c>
      <c r="G328" s="69" t="n">
        <v>125</v>
      </c>
      <c r="H328" s="69" t="n">
        <v>312500</v>
      </c>
      <c r="I328" s="5" t="n">
        <v>21875</v>
      </c>
      <c r="J328" s="69" t="n">
        <v>290625</v>
      </c>
      <c r="K328" s="69" t="n">
        <v>300000</v>
      </c>
      <c r="L328" s="69" t="n">
        <v>-9375</v>
      </c>
      <c r="M328" s="1" t="n">
        <v>41285</v>
      </c>
      <c r="N328" t="n">
        <v>11</v>
      </c>
      <c r="O328" t="inlineStr">
        <is>
          <t xml:space="preserve"> November </t>
        </is>
      </c>
      <c r="P328" t="n">
        <v>2013</v>
      </c>
      <c r="Q328">
        <f>IF(Financials[[#This Row],[ Units_Sold ]]&lt;&gt;INT(Financials[[#This Row],[ Units_Sold ]]),1,0)</f>
        <v/>
      </c>
      <c r="R328" s="10">
        <f>Financials[[#This Row],[ Profit ]]/Financials[[#This Row],[  Sales ]]</f>
        <v/>
      </c>
      <c r="S328" s="2">
        <f>Financials[[#This Row],[ COGS ]]/Financials[[#This Row],[  Sales ]]</f>
        <v/>
      </c>
      <c r="T328" s="3">
        <f>Financials[[#This Row],[ Discounts ]]/Financials[[#This Row],[  Sales ]]</f>
        <v/>
      </c>
      <c r="U328">
        <f>Financials[[#This Row],[  Sales ]]/Financials[[#This Row],[ Units_Sold ]]</f>
        <v/>
      </c>
      <c r="V328">
        <f>Financials[[#This Row],[ Profit ]]/Financials[[#This Row],[ Units_Sold ]]</f>
        <v/>
      </c>
      <c r="W328">
        <f>IF(Financials[[#This Row],[ Profit ]]&lt;0,1,0)</f>
        <v/>
      </c>
    </row>
    <row r="329">
      <c r="A329" t="inlineStr">
        <is>
          <t>Small Business</t>
        </is>
      </c>
      <c r="B329" t="inlineStr">
        <is>
          <t>Canada</t>
        </is>
      </c>
      <c r="C329" t="inlineStr">
        <is>
          <t xml:space="preserve"> Paseo </t>
        </is>
      </c>
      <c r="D329" t="inlineStr">
        <is>
          <t xml:space="preserve"> Medium </t>
        </is>
      </c>
      <c r="E329" t="n">
        <v>1702</v>
      </c>
      <c r="F329" s="69" t="n">
        <v>10</v>
      </c>
      <c r="G329" s="69" t="n">
        <v>300</v>
      </c>
      <c r="H329" s="69" t="n">
        <v>510600</v>
      </c>
      <c r="I329" s="5" t="n">
        <v>35742</v>
      </c>
      <c r="J329" s="69" t="n">
        <v>474858</v>
      </c>
      <c r="K329" s="69" t="n">
        <v>425500</v>
      </c>
      <c r="L329" s="69" t="n">
        <v>49358</v>
      </c>
      <c r="M329" s="1" t="n">
        <v>41644</v>
      </c>
      <c r="N329" t="n">
        <v>5</v>
      </c>
      <c r="O329" t="inlineStr">
        <is>
          <t xml:space="preserve"> May </t>
        </is>
      </c>
      <c r="P329" t="n">
        <v>2014</v>
      </c>
      <c r="Q329">
        <f>IF(Financials[[#This Row],[ Units_Sold ]]&lt;&gt;INT(Financials[[#This Row],[ Units_Sold ]]),1,0)</f>
        <v/>
      </c>
      <c r="R329" s="10">
        <f>Financials[[#This Row],[ Profit ]]/Financials[[#This Row],[  Sales ]]</f>
        <v/>
      </c>
      <c r="S329" s="2">
        <f>Financials[[#This Row],[ COGS ]]/Financials[[#This Row],[  Sales ]]</f>
        <v/>
      </c>
      <c r="T329" s="3">
        <f>Financials[[#This Row],[ Discounts ]]/Financials[[#This Row],[  Sales ]]</f>
        <v/>
      </c>
      <c r="U329">
        <f>Financials[[#This Row],[  Sales ]]/Financials[[#This Row],[ Units_Sold ]]</f>
        <v/>
      </c>
      <c r="V329">
        <f>Financials[[#This Row],[ Profit ]]/Financials[[#This Row],[ Units_Sold ]]</f>
        <v/>
      </c>
      <c r="W329">
        <f>IF(Financials[[#This Row],[ Profit ]]&lt;0,1,0)</f>
        <v/>
      </c>
    </row>
    <row r="330">
      <c r="A330" t="inlineStr">
        <is>
          <t>Small Business</t>
        </is>
      </c>
      <c r="B330" t="inlineStr">
        <is>
          <t>France</t>
        </is>
      </c>
      <c r="C330" t="inlineStr">
        <is>
          <t xml:space="preserve"> Paseo </t>
        </is>
      </c>
      <c r="D330" t="inlineStr">
        <is>
          <t xml:space="preserve"> Medium </t>
        </is>
      </c>
      <c r="E330" t="n">
        <v>448</v>
      </c>
      <c r="F330" s="69" t="n">
        <v>10</v>
      </c>
      <c r="G330" s="69" t="n">
        <v>300</v>
      </c>
      <c r="H330" s="69" t="n">
        <v>134400</v>
      </c>
      <c r="I330" s="5" t="n">
        <v>9408</v>
      </c>
      <c r="J330" s="69" t="n">
        <v>124992</v>
      </c>
      <c r="K330" s="69" t="n">
        <v>112000</v>
      </c>
      <c r="L330" s="69" t="n">
        <v>12992</v>
      </c>
      <c r="M330" s="1" t="n">
        <v>41645</v>
      </c>
      <c r="N330" t="n">
        <v>6</v>
      </c>
      <c r="O330" t="inlineStr">
        <is>
          <t xml:space="preserve"> June </t>
        </is>
      </c>
      <c r="P330" t="n">
        <v>2014</v>
      </c>
      <c r="Q330">
        <f>IF(Financials[[#This Row],[ Units_Sold ]]&lt;&gt;INT(Financials[[#This Row],[ Units_Sold ]]),1,0)</f>
        <v/>
      </c>
      <c r="R330" s="10">
        <f>Financials[[#This Row],[ Profit ]]/Financials[[#This Row],[  Sales ]]</f>
        <v/>
      </c>
      <c r="S330" s="2">
        <f>Financials[[#This Row],[ COGS ]]/Financials[[#This Row],[  Sales ]]</f>
        <v/>
      </c>
      <c r="T330" s="3">
        <f>Financials[[#This Row],[ Discounts ]]/Financials[[#This Row],[  Sales ]]</f>
        <v/>
      </c>
      <c r="U330">
        <f>Financials[[#This Row],[  Sales ]]/Financials[[#This Row],[ Units_Sold ]]</f>
        <v/>
      </c>
      <c r="V330">
        <f>Financials[[#This Row],[ Profit ]]/Financials[[#This Row],[ Units_Sold ]]</f>
        <v/>
      </c>
      <c r="W330">
        <f>IF(Financials[[#This Row],[ Profit ]]&lt;0,1,0)</f>
        <v/>
      </c>
    </row>
    <row r="331">
      <c r="A331" t="inlineStr">
        <is>
          <t>Enterprise</t>
        </is>
      </c>
      <c r="B331" t="inlineStr">
        <is>
          <t>Germany</t>
        </is>
      </c>
      <c r="C331" t="inlineStr">
        <is>
          <t xml:space="preserve"> Paseo </t>
        </is>
      </c>
      <c r="D331" t="inlineStr">
        <is>
          <t xml:space="preserve"> Medium </t>
        </is>
      </c>
      <c r="E331" t="n">
        <v>3513</v>
      </c>
      <c r="F331" s="69" t="n">
        <v>10</v>
      </c>
      <c r="G331" s="69" t="n">
        <v>125</v>
      </c>
      <c r="H331" s="69" t="n">
        <v>439125</v>
      </c>
      <c r="I331" s="5" t="n">
        <v>30738.75</v>
      </c>
      <c r="J331" s="69" t="n">
        <v>408386.25</v>
      </c>
      <c r="K331" s="69" t="n">
        <v>421560</v>
      </c>
      <c r="L331" s="69" t="n">
        <v>-13173.75</v>
      </c>
      <c r="M331" s="1" t="n">
        <v>41646</v>
      </c>
      <c r="N331" t="n">
        <v>7</v>
      </c>
      <c r="O331" t="inlineStr">
        <is>
          <t xml:space="preserve"> July </t>
        </is>
      </c>
      <c r="P331" t="n">
        <v>2014</v>
      </c>
      <c r="Q331">
        <f>IF(Financials[[#This Row],[ Units_Sold ]]&lt;&gt;INT(Financials[[#This Row],[ Units_Sold ]]),1,0)</f>
        <v/>
      </c>
      <c r="R331" s="10">
        <f>Financials[[#This Row],[ Profit ]]/Financials[[#This Row],[  Sales ]]</f>
        <v/>
      </c>
      <c r="S331" s="2">
        <f>Financials[[#This Row],[ COGS ]]/Financials[[#This Row],[  Sales ]]</f>
        <v/>
      </c>
      <c r="T331" s="3">
        <f>Financials[[#This Row],[ Discounts ]]/Financials[[#This Row],[  Sales ]]</f>
        <v/>
      </c>
      <c r="U331">
        <f>Financials[[#This Row],[  Sales ]]/Financials[[#This Row],[ Units_Sold ]]</f>
        <v/>
      </c>
      <c r="V331">
        <f>Financials[[#This Row],[ Profit ]]/Financials[[#This Row],[ Units_Sold ]]</f>
        <v/>
      </c>
      <c r="W331">
        <f>IF(Financials[[#This Row],[ Profit ]]&lt;0,1,0)</f>
        <v/>
      </c>
    </row>
    <row r="332">
      <c r="A332" t="inlineStr">
        <is>
          <t>Midmarket</t>
        </is>
      </c>
      <c r="B332" t="inlineStr">
        <is>
          <t>France</t>
        </is>
      </c>
      <c r="C332" t="inlineStr">
        <is>
          <t xml:space="preserve"> Paseo </t>
        </is>
      </c>
      <c r="D332" t="inlineStr">
        <is>
          <t xml:space="preserve"> Medium </t>
        </is>
      </c>
      <c r="E332" t="n">
        <v>2101</v>
      </c>
      <c r="F332" s="69" t="n">
        <v>10</v>
      </c>
      <c r="G332" s="69" t="n">
        <v>15</v>
      </c>
      <c r="H332" s="69" t="n">
        <v>31515</v>
      </c>
      <c r="I332" s="5" t="n">
        <v>2206.05</v>
      </c>
      <c r="J332" s="69" t="n">
        <v>29308.95</v>
      </c>
      <c r="K332" s="69" t="n">
        <v>21010</v>
      </c>
      <c r="L332" s="69" t="n">
        <v>8298.950000000001</v>
      </c>
      <c r="M332" s="1" t="n">
        <v>41647</v>
      </c>
      <c r="N332" t="n">
        <v>8</v>
      </c>
      <c r="O332" t="inlineStr">
        <is>
          <t xml:space="preserve"> August </t>
        </is>
      </c>
      <c r="P332" t="n">
        <v>2014</v>
      </c>
      <c r="Q332">
        <f>IF(Financials[[#This Row],[ Units_Sold ]]&lt;&gt;INT(Financials[[#This Row],[ Units_Sold ]]),1,0)</f>
        <v/>
      </c>
      <c r="R332" s="10">
        <f>Financials[[#This Row],[ Profit ]]/Financials[[#This Row],[  Sales ]]</f>
        <v/>
      </c>
      <c r="S332" s="2">
        <f>Financials[[#This Row],[ COGS ]]/Financials[[#This Row],[  Sales ]]</f>
        <v/>
      </c>
      <c r="T332" s="3">
        <f>Financials[[#This Row],[ Discounts ]]/Financials[[#This Row],[  Sales ]]</f>
        <v/>
      </c>
      <c r="U332">
        <f>Financials[[#This Row],[  Sales ]]/Financials[[#This Row],[ Units_Sold ]]</f>
        <v/>
      </c>
      <c r="V332">
        <f>Financials[[#This Row],[ Profit ]]/Financials[[#This Row],[ Units_Sold ]]</f>
        <v/>
      </c>
      <c r="W332">
        <f>IF(Financials[[#This Row],[ Profit ]]&lt;0,1,0)</f>
        <v/>
      </c>
    </row>
    <row r="333">
      <c r="A333" t="inlineStr">
        <is>
          <t>Midmarket</t>
        </is>
      </c>
      <c r="B333" t="inlineStr">
        <is>
          <t>United States of America</t>
        </is>
      </c>
      <c r="C333" t="inlineStr">
        <is>
          <t xml:space="preserve"> Paseo </t>
        </is>
      </c>
      <c r="D333" t="inlineStr">
        <is>
          <t xml:space="preserve"> Medium </t>
        </is>
      </c>
      <c r="E333" t="n">
        <v>2931</v>
      </c>
      <c r="F333" s="69" t="n">
        <v>10</v>
      </c>
      <c r="G333" s="69" t="n">
        <v>15</v>
      </c>
      <c r="H333" s="69" t="n">
        <v>43965</v>
      </c>
      <c r="I333" s="5" t="n">
        <v>3077.55</v>
      </c>
      <c r="J333" s="69" t="n">
        <v>40887.45</v>
      </c>
      <c r="K333" s="69" t="n">
        <v>29310</v>
      </c>
      <c r="L333" s="69" t="n">
        <v>11577.45</v>
      </c>
      <c r="M333" s="1" t="n">
        <v>41283</v>
      </c>
      <c r="N333" t="n">
        <v>9</v>
      </c>
      <c r="O333" t="inlineStr">
        <is>
          <t xml:space="preserve"> September </t>
        </is>
      </c>
      <c r="P333" t="n">
        <v>2013</v>
      </c>
      <c r="Q333">
        <f>IF(Financials[[#This Row],[ Units_Sold ]]&lt;&gt;INT(Financials[[#This Row],[ Units_Sold ]]),1,0)</f>
        <v/>
      </c>
      <c r="R333" s="10">
        <f>Financials[[#This Row],[ Profit ]]/Financials[[#This Row],[  Sales ]]</f>
        <v/>
      </c>
      <c r="S333" s="2">
        <f>Financials[[#This Row],[ COGS ]]/Financials[[#This Row],[  Sales ]]</f>
        <v/>
      </c>
      <c r="T333" s="3">
        <f>Financials[[#This Row],[ Discounts ]]/Financials[[#This Row],[  Sales ]]</f>
        <v/>
      </c>
      <c r="U333">
        <f>Financials[[#This Row],[  Sales ]]/Financials[[#This Row],[ Units_Sold ]]</f>
        <v/>
      </c>
      <c r="V333">
        <f>Financials[[#This Row],[ Profit ]]/Financials[[#This Row],[ Units_Sold ]]</f>
        <v/>
      </c>
      <c r="W333">
        <f>IF(Financials[[#This Row],[ Profit ]]&lt;0,1,0)</f>
        <v/>
      </c>
    </row>
    <row r="334">
      <c r="A334" t="inlineStr">
        <is>
          <t>Government</t>
        </is>
      </c>
      <c r="B334" t="inlineStr">
        <is>
          <t>France</t>
        </is>
      </c>
      <c r="C334" t="inlineStr">
        <is>
          <t xml:space="preserve"> Paseo </t>
        </is>
      </c>
      <c r="D334" t="inlineStr">
        <is>
          <t xml:space="preserve"> Medium </t>
        </is>
      </c>
      <c r="E334" t="n">
        <v>1535</v>
      </c>
      <c r="F334" s="69" t="n">
        <v>10</v>
      </c>
      <c r="G334" s="69" t="n">
        <v>20</v>
      </c>
      <c r="H334" s="69" t="n">
        <v>30700</v>
      </c>
      <c r="I334" s="5" t="n">
        <v>2149</v>
      </c>
      <c r="J334" s="69" t="n">
        <v>28551</v>
      </c>
      <c r="K334" s="69" t="n">
        <v>15350</v>
      </c>
      <c r="L334" s="69" t="n">
        <v>13201</v>
      </c>
      <c r="M334" s="1" t="n">
        <v>41648</v>
      </c>
      <c r="N334" t="n">
        <v>9</v>
      </c>
      <c r="O334" t="inlineStr">
        <is>
          <t xml:space="preserve"> September </t>
        </is>
      </c>
      <c r="P334" t="n">
        <v>2014</v>
      </c>
      <c r="Q334">
        <f>IF(Financials[[#This Row],[ Units_Sold ]]&lt;&gt;INT(Financials[[#This Row],[ Units_Sold ]]),1,0)</f>
        <v/>
      </c>
      <c r="R334" s="10">
        <f>Financials[[#This Row],[ Profit ]]/Financials[[#This Row],[  Sales ]]</f>
        <v/>
      </c>
      <c r="S334" s="2">
        <f>Financials[[#This Row],[ COGS ]]/Financials[[#This Row],[  Sales ]]</f>
        <v/>
      </c>
      <c r="T334" s="3">
        <f>Financials[[#This Row],[ Discounts ]]/Financials[[#This Row],[  Sales ]]</f>
        <v/>
      </c>
      <c r="U334">
        <f>Financials[[#This Row],[  Sales ]]/Financials[[#This Row],[ Units_Sold ]]</f>
        <v/>
      </c>
      <c r="V334">
        <f>Financials[[#This Row],[ Profit ]]/Financials[[#This Row],[ Units_Sold ]]</f>
        <v/>
      </c>
      <c r="W334">
        <f>IF(Financials[[#This Row],[ Profit ]]&lt;0,1,0)</f>
        <v/>
      </c>
    </row>
    <row r="335">
      <c r="A335" t="inlineStr">
        <is>
          <t>Small Business</t>
        </is>
      </c>
      <c r="B335" t="inlineStr">
        <is>
          <t>Germany</t>
        </is>
      </c>
      <c r="C335" t="inlineStr">
        <is>
          <t xml:space="preserve"> Paseo </t>
        </is>
      </c>
      <c r="D335" t="inlineStr">
        <is>
          <t xml:space="preserve"> Medium </t>
        </is>
      </c>
      <c r="E335" t="n">
        <v>1123</v>
      </c>
      <c r="F335" s="69" t="n">
        <v>10</v>
      </c>
      <c r="G335" s="69" t="n">
        <v>300</v>
      </c>
      <c r="H335" s="69" t="n">
        <v>336900</v>
      </c>
      <c r="I335" s="5" t="n">
        <v>23583</v>
      </c>
      <c r="J335" s="69" t="n">
        <v>313317</v>
      </c>
      <c r="K335" s="69" t="n">
        <v>280750</v>
      </c>
      <c r="L335" s="69" t="n">
        <v>32567</v>
      </c>
      <c r="M335" s="1" t="n">
        <v>41283</v>
      </c>
      <c r="N335" t="n">
        <v>9</v>
      </c>
      <c r="O335" t="inlineStr">
        <is>
          <t xml:space="preserve"> September </t>
        </is>
      </c>
      <c r="P335" t="n">
        <v>2013</v>
      </c>
      <c r="Q335">
        <f>IF(Financials[[#This Row],[ Units_Sold ]]&lt;&gt;INT(Financials[[#This Row],[ Units_Sold ]]),1,0)</f>
        <v/>
      </c>
      <c r="R335" s="10">
        <f>Financials[[#This Row],[ Profit ]]/Financials[[#This Row],[  Sales ]]</f>
        <v/>
      </c>
      <c r="S335" s="2">
        <f>Financials[[#This Row],[ COGS ]]/Financials[[#This Row],[  Sales ]]</f>
        <v/>
      </c>
      <c r="T335" s="3">
        <f>Financials[[#This Row],[ Discounts ]]/Financials[[#This Row],[  Sales ]]</f>
        <v/>
      </c>
      <c r="U335">
        <f>Financials[[#This Row],[  Sales ]]/Financials[[#This Row],[ Units_Sold ]]</f>
        <v/>
      </c>
      <c r="V335">
        <f>Financials[[#This Row],[ Profit ]]/Financials[[#This Row],[ Units_Sold ]]</f>
        <v/>
      </c>
      <c r="W335">
        <f>IF(Financials[[#This Row],[ Profit ]]&lt;0,1,0)</f>
        <v/>
      </c>
    </row>
    <row r="336">
      <c r="A336" t="inlineStr">
        <is>
          <t>Small Business</t>
        </is>
      </c>
      <c r="B336" t="inlineStr">
        <is>
          <t>Canada</t>
        </is>
      </c>
      <c r="C336" t="inlineStr">
        <is>
          <t xml:space="preserve"> Paseo </t>
        </is>
      </c>
      <c r="D336" t="inlineStr">
        <is>
          <t xml:space="preserve"> Medium </t>
        </is>
      </c>
      <c r="E336" t="n">
        <v>1404</v>
      </c>
      <c r="F336" s="69" t="n">
        <v>10</v>
      </c>
      <c r="G336" s="69" t="n">
        <v>300</v>
      </c>
      <c r="H336" s="69" t="n">
        <v>421200</v>
      </c>
      <c r="I336" s="5" t="n">
        <v>29484</v>
      </c>
      <c r="J336" s="69" t="n">
        <v>391716</v>
      </c>
      <c r="K336" s="69" t="n">
        <v>351000</v>
      </c>
      <c r="L336" s="69" t="n">
        <v>40716</v>
      </c>
      <c r="M336" s="1" t="n">
        <v>41285</v>
      </c>
      <c r="N336" t="n">
        <v>11</v>
      </c>
      <c r="O336" t="inlineStr">
        <is>
          <t xml:space="preserve"> November </t>
        </is>
      </c>
      <c r="P336" t="n">
        <v>2013</v>
      </c>
      <c r="Q336">
        <f>IF(Financials[[#This Row],[ Units_Sold ]]&lt;&gt;INT(Financials[[#This Row],[ Units_Sold ]]),1,0)</f>
        <v/>
      </c>
      <c r="R336" s="10">
        <f>Financials[[#This Row],[ Profit ]]/Financials[[#This Row],[  Sales ]]</f>
        <v/>
      </c>
      <c r="S336" s="2">
        <f>Financials[[#This Row],[ COGS ]]/Financials[[#This Row],[  Sales ]]</f>
        <v/>
      </c>
      <c r="T336" s="3">
        <f>Financials[[#This Row],[ Discounts ]]/Financials[[#This Row],[  Sales ]]</f>
        <v/>
      </c>
      <c r="U336">
        <f>Financials[[#This Row],[  Sales ]]/Financials[[#This Row],[ Units_Sold ]]</f>
        <v/>
      </c>
      <c r="V336">
        <f>Financials[[#This Row],[ Profit ]]/Financials[[#This Row],[ Units_Sold ]]</f>
        <v/>
      </c>
      <c r="W336">
        <f>IF(Financials[[#This Row],[ Profit ]]&lt;0,1,0)</f>
        <v/>
      </c>
    </row>
    <row r="337">
      <c r="A337" t="inlineStr">
        <is>
          <t>Channel Partners</t>
        </is>
      </c>
      <c r="B337" t="inlineStr">
        <is>
          <t>Mexico</t>
        </is>
      </c>
      <c r="C337" t="inlineStr">
        <is>
          <t xml:space="preserve"> Paseo </t>
        </is>
      </c>
      <c r="D337" t="inlineStr">
        <is>
          <t xml:space="preserve"> Medium </t>
        </is>
      </c>
      <c r="E337" t="n">
        <v>2763</v>
      </c>
      <c r="F337" s="69" t="n">
        <v>10</v>
      </c>
      <c r="G337" s="69" t="n">
        <v>12</v>
      </c>
      <c r="H337" s="69" t="n">
        <v>33156</v>
      </c>
      <c r="I337" s="5" t="n">
        <v>2320.92</v>
      </c>
      <c r="J337" s="69" t="n">
        <v>30835.08</v>
      </c>
      <c r="K337" s="69" t="n">
        <v>8289</v>
      </c>
      <c r="L337" s="69" t="n">
        <v>22546.08</v>
      </c>
      <c r="M337" s="1" t="n">
        <v>41285</v>
      </c>
      <c r="N337" t="n">
        <v>11</v>
      </c>
      <c r="O337" t="inlineStr">
        <is>
          <t xml:space="preserve"> November </t>
        </is>
      </c>
      <c r="P337" t="n">
        <v>2013</v>
      </c>
      <c r="Q337">
        <f>IF(Financials[[#This Row],[ Units_Sold ]]&lt;&gt;INT(Financials[[#This Row],[ Units_Sold ]]),1,0)</f>
        <v/>
      </c>
      <c r="R337" s="10">
        <f>Financials[[#This Row],[ Profit ]]/Financials[[#This Row],[  Sales ]]</f>
        <v/>
      </c>
      <c r="S337" s="2">
        <f>Financials[[#This Row],[ COGS ]]/Financials[[#This Row],[  Sales ]]</f>
        <v/>
      </c>
      <c r="T337" s="3">
        <f>Financials[[#This Row],[ Discounts ]]/Financials[[#This Row],[  Sales ]]</f>
        <v/>
      </c>
      <c r="U337">
        <f>Financials[[#This Row],[  Sales ]]/Financials[[#This Row],[ Units_Sold ]]</f>
        <v/>
      </c>
      <c r="V337">
        <f>Financials[[#This Row],[ Profit ]]/Financials[[#This Row],[ Units_Sold ]]</f>
        <v/>
      </c>
      <c r="W337">
        <f>IF(Financials[[#This Row],[ Profit ]]&lt;0,1,0)</f>
        <v/>
      </c>
    </row>
    <row r="338">
      <c r="A338" t="inlineStr">
        <is>
          <t>Government</t>
        </is>
      </c>
      <c r="B338" t="inlineStr">
        <is>
          <t>Germany</t>
        </is>
      </c>
      <c r="C338" t="inlineStr">
        <is>
          <t xml:space="preserve"> Paseo </t>
        </is>
      </c>
      <c r="D338" t="inlineStr">
        <is>
          <t xml:space="preserve"> Medium </t>
        </is>
      </c>
      <c r="E338" t="n">
        <v>2125</v>
      </c>
      <c r="F338" s="69" t="n">
        <v>10</v>
      </c>
      <c r="G338" s="69" t="n">
        <v>7</v>
      </c>
      <c r="H338" s="69" t="n">
        <v>14875</v>
      </c>
      <c r="I338" s="5" t="n">
        <v>1041.25</v>
      </c>
      <c r="J338" s="69" t="n">
        <v>13833.75</v>
      </c>
      <c r="K338" s="69" t="n">
        <v>10625</v>
      </c>
      <c r="L338" s="69" t="n">
        <v>3208.75</v>
      </c>
      <c r="M338" s="1" t="n">
        <v>41286</v>
      </c>
      <c r="N338" t="n">
        <v>12</v>
      </c>
      <c r="O338" t="inlineStr">
        <is>
          <t xml:space="preserve"> December </t>
        </is>
      </c>
      <c r="P338" t="n">
        <v>2013</v>
      </c>
      <c r="Q338">
        <f>IF(Financials[[#This Row],[ Units_Sold ]]&lt;&gt;INT(Financials[[#This Row],[ Units_Sold ]]),1,0)</f>
        <v/>
      </c>
      <c r="R338" s="10">
        <f>Financials[[#This Row],[ Profit ]]/Financials[[#This Row],[  Sales ]]</f>
        <v/>
      </c>
      <c r="S338" s="2">
        <f>Financials[[#This Row],[ COGS ]]/Financials[[#This Row],[  Sales ]]</f>
        <v/>
      </c>
      <c r="T338" s="3">
        <f>Financials[[#This Row],[ Discounts ]]/Financials[[#This Row],[  Sales ]]</f>
        <v/>
      </c>
      <c r="U338">
        <f>Financials[[#This Row],[  Sales ]]/Financials[[#This Row],[ Units_Sold ]]</f>
        <v/>
      </c>
      <c r="V338">
        <f>Financials[[#This Row],[ Profit ]]/Financials[[#This Row],[ Units_Sold ]]</f>
        <v/>
      </c>
      <c r="W338">
        <f>IF(Financials[[#This Row],[ Profit ]]&lt;0,1,0)</f>
        <v/>
      </c>
    </row>
    <row r="339">
      <c r="A339" t="inlineStr">
        <is>
          <t>Small Business</t>
        </is>
      </c>
      <c r="B339" t="inlineStr">
        <is>
          <t>France</t>
        </is>
      </c>
      <c r="C339" t="inlineStr">
        <is>
          <t xml:space="preserve"> Velo </t>
        </is>
      </c>
      <c r="D339" t="inlineStr">
        <is>
          <t xml:space="preserve"> Medium </t>
        </is>
      </c>
      <c r="E339" t="n">
        <v>1659</v>
      </c>
      <c r="F339" s="69" t="n">
        <v>120</v>
      </c>
      <c r="G339" s="69" t="n">
        <v>300</v>
      </c>
      <c r="H339" s="69" t="n">
        <v>497700</v>
      </c>
      <c r="I339" s="5" t="n">
        <v>34839</v>
      </c>
      <c r="J339" s="69" t="n">
        <v>462861</v>
      </c>
      <c r="K339" s="69" t="n">
        <v>414750</v>
      </c>
      <c r="L339" s="69" t="n">
        <v>48111</v>
      </c>
      <c r="M339" s="1" t="n">
        <v>41646</v>
      </c>
      <c r="N339" t="n">
        <v>7</v>
      </c>
      <c r="O339" t="inlineStr">
        <is>
          <t xml:space="preserve"> July </t>
        </is>
      </c>
      <c r="P339" t="n">
        <v>2014</v>
      </c>
      <c r="Q339">
        <f>IF(Financials[[#This Row],[ Units_Sold ]]&lt;&gt;INT(Financials[[#This Row],[ Units_Sold ]]),1,0)</f>
        <v/>
      </c>
      <c r="R339" s="10">
        <f>Financials[[#This Row],[ Profit ]]/Financials[[#This Row],[  Sales ]]</f>
        <v/>
      </c>
      <c r="S339" s="2">
        <f>Financials[[#This Row],[ COGS ]]/Financials[[#This Row],[  Sales ]]</f>
        <v/>
      </c>
      <c r="T339" s="3">
        <f>Financials[[#This Row],[ Discounts ]]/Financials[[#This Row],[  Sales ]]</f>
        <v/>
      </c>
      <c r="U339">
        <f>Financials[[#This Row],[  Sales ]]/Financials[[#This Row],[ Units_Sold ]]</f>
        <v/>
      </c>
      <c r="V339">
        <f>Financials[[#This Row],[ Profit ]]/Financials[[#This Row],[ Units_Sold ]]</f>
        <v/>
      </c>
      <c r="W339">
        <f>IF(Financials[[#This Row],[ Profit ]]&lt;0,1,0)</f>
        <v/>
      </c>
    </row>
    <row r="340">
      <c r="A340" t="inlineStr">
        <is>
          <t>Government</t>
        </is>
      </c>
      <c r="B340" t="inlineStr">
        <is>
          <t>Mexico</t>
        </is>
      </c>
      <c r="C340" t="inlineStr">
        <is>
          <t xml:space="preserve"> Velo </t>
        </is>
      </c>
      <c r="D340" t="inlineStr">
        <is>
          <t xml:space="preserve"> Medium </t>
        </is>
      </c>
      <c r="E340" t="n">
        <v>609</v>
      </c>
      <c r="F340" s="69" t="n">
        <v>120</v>
      </c>
      <c r="G340" s="69" t="n">
        <v>20</v>
      </c>
      <c r="H340" s="69" t="n">
        <v>12180</v>
      </c>
      <c r="I340" s="5" t="n">
        <v>852.6</v>
      </c>
      <c r="J340" s="69" t="n">
        <v>11327.4</v>
      </c>
      <c r="K340" s="69" t="n">
        <v>6090</v>
      </c>
      <c r="L340" s="69" t="n">
        <v>5237.4</v>
      </c>
      <c r="M340" s="1" t="n">
        <v>41647</v>
      </c>
      <c r="N340" t="n">
        <v>8</v>
      </c>
      <c r="O340" t="inlineStr">
        <is>
          <t xml:space="preserve"> August </t>
        </is>
      </c>
      <c r="P340" t="n">
        <v>2014</v>
      </c>
      <c r="Q340">
        <f>IF(Financials[[#This Row],[ Units_Sold ]]&lt;&gt;INT(Financials[[#This Row],[ Units_Sold ]]),1,0)</f>
        <v/>
      </c>
      <c r="R340" s="10">
        <f>Financials[[#This Row],[ Profit ]]/Financials[[#This Row],[  Sales ]]</f>
        <v/>
      </c>
      <c r="S340" s="2">
        <f>Financials[[#This Row],[ COGS ]]/Financials[[#This Row],[  Sales ]]</f>
        <v/>
      </c>
      <c r="T340" s="3">
        <f>Financials[[#This Row],[ Discounts ]]/Financials[[#This Row],[  Sales ]]</f>
        <v/>
      </c>
      <c r="U340">
        <f>Financials[[#This Row],[  Sales ]]/Financials[[#This Row],[ Units_Sold ]]</f>
        <v/>
      </c>
      <c r="V340">
        <f>Financials[[#This Row],[ Profit ]]/Financials[[#This Row],[ Units_Sold ]]</f>
        <v/>
      </c>
      <c r="W340">
        <f>IF(Financials[[#This Row],[ Profit ]]&lt;0,1,0)</f>
        <v/>
      </c>
    </row>
    <row r="341">
      <c r="A341" t="inlineStr">
        <is>
          <t>Enterprise</t>
        </is>
      </c>
      <c r="B341" t="inlineStr">
        <is>
          <t>Germany</t>
        </is>
      </c>
      <c r="C341" t="inlineStr">
        <is>
          <t xml:space="preserve"> Velo </t>
        </is>
      </c>
      <c r="D341" t="inlineStr">
        <is>
          <t xml:space="preserve"> Medium </t>
        </is>
      </c>
      <c r="E341" t="n">
        <v>2087</v>
      </c>
      <c r="F341" s="69" t="n">
        <v>120</v>
      </c>
      <c r="G341" s="69" t="n">
        <v>125</v>
      </c>
      <c r="H341" s="69" t="n">
        <v>260875</v>
      </c>
      <c r="I341" s="5" t="n">
        <v>18261.25</v>
      </c>
      <c r="J341" s="69" t="n">
        <v>242613.75</v>
      </c>
      <c r="K341" s="69" t="n">
        <v>250440</v>
      </c>
      <c r="L341" s="69" t="n">
        <v>-7826.25</v>
      </c>
      <c r="M341" s="1" t="n">
        <v>41648</v>
      </c>
      <c r="N341" t="n">
        <v>9</v>
      </c>
      <c r="O341" t="inlineStr">
        <is>
          <t xml:space="preserve"> September </t>
        </is>
      </c>
      <c r="P341" t="n">
        <v>2014</v>
      </c>
      <c r="Q341">
        <f>IF(Financials[[#This Row],[ Units_Sold ]]&lt;&gt;INT(Financials[[#This Row],[ Units_Sold ]]),1,0)</f>
        <v/>
      </c>
      <c r="R341" s="10">
        <f>Financials[[#This Row],[ Profit ]]/Financials[[#This Row],[  Sales ]]</f>
        <v/>
      </c>
      <c r="S341" s="2">
        <f>Financials[[#This Row],[ COGS ]]/Financials[[#This Row],[  Sales ]]</f>
        <v/>
      </c>
      <c r="T341" s="3">
        <f>Financials[[#This Row],[ Discounts ]]/Financials[[#This Row],[  Sales ]]</f>
        <v/>
      </c>
      <c r="U341">
        <f>Financials[[#This Row],[  Sales ]]/Financials[[#This Row],[ Units_Sold ]]</f>
        <v/>
      </c>
      <c r="V341">
        <f>Financials[[#This Row],[ Profit ]]/Financials[[#This Row],[ Units_Sold ]]</f>
        <v/>
      </c>
      <c r="W341">
        <f>IF(Financials[[#This Row],[ Profit ]]&lt;0,1,0)</f>
        <v/>
      </c>
    </row>
    <row r="342">
      <c r="A342" t="inlineStr">
        <is>
          <t>Government</t>
        </is>
      </c>
      <c r="B342" t="inlineStr">
        <is>
          <t>France</t>
        </is>
      </c>
      <c r="C342" t="inlineStr">
        <is>
          <t xml:space="preserve"> Velo </t>
        </is>
      </c>
      <c r="D342" t="inlineStr">
        <is>
          <t xml:space="preserve"> Medium </t>
        </is>
      </c>
      <c r="E342" t="n">
        <v>1976</v>
      </c>
      <c r="F342" s="69" t="n">
        <v>120</v>
      </c>
      <c r="G342" s="69" t="n">
        <v>20</v>
      </c>
      <c r="H342" s="69" t="n">
        <v>39520</v>
      </c>
      <c r="I342" s="5" t="n">
        <v>2766.4</v>
      </c>
      <c r="J342" s="69" t="n">
        <v>36753.6</v>
      </c>
      <c r="K342" s="69" t="n">
        <v>19760</v>
      </c>
      <c r="L342" s="69" t="n">
        <v>16993.6</v>
      </c>
      <c r="M342" s="1" t="n">
        <v>41649</v>
      </c>
      <c r="N342" t="n">
        <v>10</v>
      </c>
      <c r="O342" t="inlineStr">
        <is>
          <t xml:space="preserve"> October </t>
        </is>
      </c>
      <c r="P342" t="n">
        <v>2014</v>
      </c>
      <c r="Q342">
        <f>IF(Financials[[#This Row],[ Units_Sold ]]&lt;&gt;INT(Financials[[#This Row],[ Units_Sold ]]),1,0)</f>
        <v/>
      </c>
      <c r="R342" s="10">
        <f>Financials[[#This Row],[ Profit ]]/Financials[[#This Row],[  Sales ]]</f>
        <v/>
      </c>
      <c r="S342" s="2">
        <f>Financials[[#This Row],[ COGS ]]/Financials[[#This Row],[  Sales ]]</f>
        <v/>
      </c>
      <c r="T342" s="3">
        <f>Financials[[#This Row],[ Discounts ]]/Financials[[#This Row],[  Sales ]]</f>
        <v/>
      </c>
      <c r="U342">
        <f>Financials[[#This Row],[  Sales ]]/Financials[[#This Row],[ Units_Sold ]]</f>
        <v/>
      </c>
      <c r="V342">
        <f>Financials[[#This Row],[ Profit ]]/Financials[[#This Row],[ Units_Sold ]]</f>
        <v/>
      </c>
      <c r="W342">
        <f>IF(Financials[[#This Row],[ Profit ]]&lt;0,1,0)</f>
        <v/>
      </c>
    </row>
    <row r="343">
      <c r="A343" t="inlineStr">
        <is>
          <t>Government</t>
        </is>
      </c>
      <c r="B343" t="inlineStr">
        <is>
          <t>United States of America</t>
        </is>
      </c>
      <c r="C343" t="inlineStr">
        <is>
          <t xml:space="preserve"> Velo </t>
        </is>
      </c>
      <c r="D343" t="inlineStr">
        <is>
          <t xml:space="preserve"> Medium </t>
        </is>
      </c>
      <c r="E343" t="n">
        <v>1421</v>
      </c>
      <c r="F343" s="69" t="n">
        <v>120</v>
      </c>
      <c r="G343" s="69" t="n">
        <v>20</v>
      </c>
      <c r="H343" s="69" t="n">
        <v>28420</v>
      </c>
      <c r="I343" s="5" t="n">
        <v>1989.4</v>
      </c>
      <c r="J343" s="69" t="n">
        <v>26430.6</v>
      </c>
      <c r="K343" s="69" t="n">
        <v>14210</v>
      </c>
      <c r="L343" s="69" t="n">
        <v>12220.6</v>
      </c>
      <c r="M343" s="1" t="n">
        <v>41286</v>
      </c>
      <c r="N343" t="n">
        <v>12</v>
      </c>
      <c r="O343" t="inlineStr">
        <is>
          <t xml:space="preserve"> December </t>
        </is>
      </c>
      <c r="P343" t="n">
        <v>2013</v>
      </c>
      <c r="Q343">
        <f>IF(Financials[[#This Row],[ Units_Sold ]]&lt;&gt;INT(Financials[[#This Row],[ Units_Sold ]]),1,0)</f>
        <v/>
      </c>
      <c r="R343" s="10">
        <f>Financials[[#This Row],[ Profit ]]/Financials[[#This Row],[  Sales ]]</f>
        <v/>
      </c>
      <c r="S343" s="2">
        <f>Financials[[#This Row],[ COGS ]]/Financials[[#This Row],[  Sales ]]</f>
        <v/>
      </c>
      <c r="T343" s="3">
        <f>Financials[[#This Row],[ Discounts ]]/Financials[[#This Row],[  Sales ]]</f>
        <v/>
      </c>
      <c r="U343">
        <f>Financials[[#This Row],[  Sales ]]/Financials[[#This Row],[ Units_Sold ]]</f>
        <v/>
      </c>
      <c r="V343">
        <f>Financials[[#This Row],[ Profit ]]/Financials[[#This Row],[ Units_Sold ]]</f>
        <v/>
      </c>
      <c r="W343">
        <f>IF(Financials[[#This Row],[ Profit ]]&lt;0,1,0)</f>
        <v/>
      </c>
    </row>
    <row r="344">
      <c r="A344" t="inlineStr">
        <is>
          <t>Small Business</t>
        </is>
      </c>
      <c r="B344" t="inlineStr">
        <is>
          <t>United States of America</t>
        </is>
      </c>
      <c r="C344" t="inlineStr">
        <is>
          <t xml:space="preserve"> Velo </t>
        </is>
      </c>
      <c r="D344" t="inlineStr">
        <is>
          <t xml:space="preserve"> Medium </t>
        </is>
      </c>
      <c r="E344" t="n">
        <v>1372</v>
      </c>
      <c r="F344" s="69" t="n">
        <v>120</v>
      </c>
      <c r="G344" s="69" t="n">
        <v>300</v>
      </c>
      <c r="H344" s="69" t="n">
        <v>411600</v>
      </c>
      <c r="I344" s="5" t="n">
        <v>28812</v>
      </c>
      <c r="J344" s="69" t="n">
        <v>382788</v>
      </c>
      <c r="K344" s="69" t="n">
        <v>343000</v>
      </c>
      <c r="L344" s="69" t="n">
        <v>39788</v>
      </c>
      <c r="M344" s="1" t="n">
        <v>41651</v>
      </c>
      <c r="N344" t="n">
        <v>12</v>
      </c>
      <c r="O344" t="inlineStr">
        <is>
          <t xml:space="preserve"> December </t>
        </is>
      </c>
      <c r="P344" t="n">
        <v>2014</v>
      </c>
      <c r="Q344">
        <f>IF(Financials[[#This Row],[ Units_Sold ]]&lt;&gt;INT(Financials[[#This Row],[ Units_Sold ]]),1,0)</f>
        <v/>
      </c>
      <c r="R344" s="10">
        <f>Financials[[#This Row],[ Profit ]]/Financials[[#This Row],[  Sales ]]</f>
        <v/>
      </c>
      <c r="S344" s="2">
        <f>Financials[[#This Row],[ COGS ]]/Financials[[#This Row],[  Sales ]]</f>
        <v/>
      </c>
      <c r="T344" s="3">
        <f>Financials[[#This Row],[ Discounts ]]/Financials[[#This Row],[  Sales ]]</f>
        <v/>
      </c>
      <c r="U344">
        <f>Financials[[#This Row],[  Sales ]]/Financials[[#This Row],[ Units_Sold ]]</f>
        <v/>
      </c>
      <c r="V344">
        <f>Financials[[#This Row],[ Profit ]]/Financials[[#This Row],[ Units_Sold ]]</f>
        <v/>
      </c>
      <c r="W344">
        <f>IF(Financials[[#This Row],[ Profit ]]&lt;0,1,0)</f>
        <v/>
      </c>
    </row>
    <row r="345">
      <c r="A345" t="inlineStr">
        <is>
          <t>Government</t>
        </is>
      </c>
      <c r="B345" t="inlineStr">
        <is>
          <t>Germany</t>
        </is>
      </c>
      <c r="C345" t="inlineStr">
        <is>
          <t xml:space="preserve"> Velo </t>
        </is>
      </c>
      <c r="D345" t="inlineStr">
        <is>
          <t xml:space="preserve"> Medium </t>
        </is>
      </c>
      <c r="E345" t="n">
        <v>588</v>
      </c>
      <c r="F345" s="69" t="n">
        <v>120</v>
      </c>
      <c r="G345" s="69" t="n">
        <v>20</v>
      </c>
      <c r="H345" s="69" t="n">
        <v>11760</v>
      </c>
      <c r="I345" s="5" t="n">
        <v>823.2</v>
      </c>
      <c r="J345" s="69" t="n">
        <v>10936.8</v>
      </c>
      <c r="K345" s="69" t="n">
        <v>5880</v>
      </c>
      <c r="L345" s="69" t="n">
        <v>5056.8</v>
      </c>
      <c r="M345" s="1" t="n">
        <v>41286</v>
      </c>
      <c r="N345" t="n">
        <v>12</v>
      </c>
      <c r="O345" t="inlineStr">
        <is>
          <t xml:space="preserve"> December </t>
        </is>
      </c>
      <c r="P345" t="n">
        <v>2013</v>
      </c>
      <c r="Q345">
        <f>IF(Financials[[#This Row],[ Units_Sold ]]&lt;&gt;INT(Financials[[#This Row],[ Units_Sold ]]),1,0)</f>
        <v/>
      </c>
      <c r="R345" s="10">
        <f>Financials[[#This Row],[ Profit ]]/Financials[[#This Row],[  Sales ]]</f>
        <v/>
      </c>
      <c r="S345" s="2">
        <f>Financials[[#This Row],[ COGS ]]/Financials[[#This Row],[  Sales ]]</f>
        <v/>
      </c>
      <c r="T345" s="3">
        <f>Financials[[#This Row],[ Discounts ]]/Financials[[#This Row],[  Sales ]]</f>
        <v/>
      </c>
      <c r="U345">
        <f>Financials[[#This Row],[  Sales ]]/Financials[[#This Row],[ Units_Sold ]]</f>
        <v/>
      </c>
      <c r="V345">
        <f>Financials[[#This Row],[ Profit ]]/Financials[[#This Row],[ Units_Sold ]]</f>
        <v/>
      </c>
      <c r="W345">
        <f>IF(Financials[[#This Row],[ Profit ]]&lt;0,1,0)</f>
        <v/>
      </c>
    </row>
    <row r="346">
      <c r="A346" t="inlineStr">
        <is>
          <t>Channel Partners</t>
        </is>
      </c>
      <c r="B346" t="inlineStr">
        <is>
          <t>Canada</t>
        </is>
      </c>
      <c r="C346" t="inlineStr">
        <is>
          <t xml:space="preserve"> VTT </t>
        </is>
      </c>
      <c r="D346" t="inlineStr">
        <is>
          <t xml:space="preserve"> Medium </t>
        </is>
      </c>
      <c r="E346" t="n">
        <v>3244.5</v>
      </c>
      <c r="F346" s="69" t="n">
        <v>250</v>
      </c>
      <c r="G346" s="69" t="n">
        <v>12</v>
      </c>
      <c r="H346" s="69" t="n">
        <v>38934</v>
      </c>
      <c r="I346" s="5" t="n">
        <v>2725.38</v>
      </c>
      <c r="J346" s="69" t="n">
        <v>36208.62</v>
      </c>
      <c r="K346" s="69" t="n">
        <v>9733.5</v>
      </c>
      <c r="L346" s="69" t="n">
        <v>26475.12</v>
      </c>
      <c r="M346" s="1" t="n">
        <v>41640</v>
      </c>
      <c r="N346" t="n">
        <v>1</v>
      </c>
      <c r="O346" t="inlineStr">
        <is>
          <t xml:space="preserve"> January </t>
        </is>
      </c>
      <c r="P346" t="n">
        <v>2014</v>
      </c>
      <c r="Q346">
        <f>IF(Financials[[#This Row],[ Units_Sold ]]&lt;&gt;INT(Financials[[#This Row],[ Units_Sold ]]),1,0)</f>
        <v/>
      </c>
      <c r="R346" s="10">
        <f>Financials[[#This Row],[ Profit ]]/Financials[[#This Row],[  Sales ]]</f>
        <v/>
      </c>
      <c r="S346" s="2">
        <f>Financials[[#This Row],[ COGS ]]/Financials[[#This Row],[  Sales ]]</f>
        <v/>
      </c>
      <c r="T346" s="3">
        <f>Financials[[#This Row],[ Discounts ]]/Financials[[#This Row],[  Sales ]]</f>
        <v/>
      </c>
      <c r="U346">
        <f>Financials[[#This Row],[  Sales ]]/Financials[[#This Row],[ Units_Sold ]]</f>
        <v/>
      </c>
      <c r="V346">
        <f>Financials[[#This Row],[ Profit ]]/Financials[[#This Row],[ Units_Sold ]]</f>
        <v/>
      </c>
      <c r="W346">
        <f>IF(Financials[[#This Row],[ Profit ]]&lt;0,1,0)</f>
        <v/>
      </c>
    </row>
    <row r="347">
      <c r="A347" t="inlineStr">
        <is>
          <t>Small Business</t>
        </is>
      </c>
      <c r="B347" t="inlineStr">
        <is>
          <t>France</t>
        </is>
      </c>
      <c r="C347" t="inlineStr">
        <is>
          <t xml:space="preserve"> VTT </t>
        </is>
      </c>
      <c r="D347" t="inlineStr">
        <is>
          <t xml:space="preserve"> Medium </t>
        </is>
      </c>
      <c r="E347" t="n">
        <v>959</v>
      </c>
      <c r="F347" s="69" t="n">
        <v>250</v>
      </c>
      <c r="G347" s="69" t="n">
        <v>300</v>
      </c>
      <c r="H347" s="69" t="n">
        <v>287700</v>
      </c>
      <c r="I347" s="5" t="n">
        <v>20139</v>
      </c>
      <c r="J347" s="69" t="n">
        <v>267561</v>
      </c>
      <c r="K347" s="69" t="n">
        <v>239750</v>
      </c>
      <c r="L347" s="69" t="n">
        <v>27811</v>
      </c>
      <c r="M347" s="1" t="n">
        <v>41641</v>
      </c>
      <c r="N347" t="n">
        <v>2</v>
      </c>
      <c r="O347" t="inlineStr">
        <is>
          <t xml:space="preserve"> February </t>
        </is>
      </c>
      <c r="P347" t="n">
        <v>2014</v>
      </c>
      <c r="Q347">
        <f>IF(Financials[[#This Row],[ Units_Sold ]]&lt;&gt;INT(Financials[[#This Row],[ Units_Sold ]]),1,0)</f>
        <v/>
      </c>
      <c r="R347" s="10">
        <f>Financials[[#This Row],[ Profit ]]/Financials[[#This Row],[  Sales ]]</f>
        <v/>
      </c>
      <c r="S347" s="2">
        <f>Financials[[#This Row],[ COGS ]]/Financials[[#This Row],[  Sales ]]</f>
        <v/>
      </c>
      <c r="T347" s="3">
        <f>Financials[[#This Row],[ Discounts ]]/Financials[[#This Row],[  Sales ]]</f>
        <v/>
      </c>
      <c r="U347">
        <f>Financials[[#This Row],[  Sales ]]/Financials[[#This Row],[ Units_Sold ]]</f>
        <v/>
      </c>
      <c r="V347">
        <f>Financials[[#This Row],[ Profit ]]/Financials[[#This Row],[ Units_Sold ]]</f>
        <v/>
      </c>
      <c r="W347">
        <f>IF(Financials[[#This Row],[ Profit ]]&lt;0,1,0)</f>
        <v/>
      </c>
    </row>
    <row r="348">
      <c r="A348" t="inlineStr">
        <is>
          <t>Small Business</t>
        </is>
      </c>
      <c r="B348" t="inlineStr">
        <is>
          <t>Mexico</t>
        </is>
      </c>
      <c r="C348" t="inlineStr">
        <is>
          <t xml:space="preserve"> VTT </t>
        </is>
      </c>
      <c r="D348" t="inlineStr">
        <is>
          <t xml:space="preserve"> Medium </t>
        </is>
      </c>
      <c r="E348" t="n">
        <v>2747</v>
      </c>
      <c r="F348" s="69" t="n">
        <v>250</v>
      </c>
      <c r="G348" s="69" t="n">
        <v>300</v>
      </c>
      <c r="H348" s="69" t="n">
        <v>824100</v>
      </c>
      <c r="I348" s="5" t="n">
        <v>57687</v>
      </c>
      <c r="J348" s="69" t="n">
        <v>766413</v>
      </c>
      <c r="K348" s="69" t="n">
        <v>686750</v>
      </c>
      <c r="L348" s="69" t="n">
        <v>79663</v>
      </c>
      <c r="M348" s="1" t="n">
        <v>41641</v>
      </c>
      <c r="N348" t="n">
        <v>2</v>
      </c>
      <c r="O348" t="inlineStr">
        <is>
          <t xml:space="preserve"> February </t>
        </is>
      </c>
      <c r="P348" t="n">
        <v>2014</v>
      </c>
      <c r="Q348">
        <f>IF(Financials[[#This Row],[ Units_Sold ]]&lt;&gt;INT(Financials[[#This Row],[ Units_Sold ]]),1,0)</f>
        <v/>
      </c>
      <c r="R348" s="10">
        <f>Financials[[#This Row],[ Profit ]]/Financials[[#This Row],[  Sales ]]</f>
        <v/>
      </c>
      <c r="S348" s="2">
        <f>Financials[[#This Row],[ COGS ]]/Financials[[#This Row],[  Sales ]]</f>
        <v/>
      </c>
      <c r="T348" s="3">
        <f>Financials[[#This Row],[ Discounts ]]/Financials[[#This Row],[  Sales ]]</f>
        <v/>
      </c>
      <c r="U348">
        <f>Financials[[#This Row],[  Sales ]]/Financials[[#This Row],[ Units_Sold ]]</f>
        <v/>
      </c>
      <c r="V348">
        <f>Financials[[#This Row],[ Profit ]]/Financials[[#This Row],[ Units_Sold ]]</f>
        <v/>
      </c>
      <c r="W348">
        <f>IF(Financials[[#This Row],[ Profit ]]&lt;0,1,0)</f>
        <v/>
      </c>
    </row>
    <row r="349">
      <c r="A349" t="inlineStr">
        <is>
          <t>Enterprise</t>
        </is>
      </c>
      <c r="B349" t="inlineStr">
        <is>
          <t>Canada</t>
        </is>
      </c>
      <c r="C349" t="inlineStr">
        <is>
          <t xml:space="preserve"> Amarilla </t>
        </is>
      </c>
      <c r="D349" t="inlineStr">
        <is>
          <t xml:space="preserve"> Medium </t>
        </is>
      </c>
      <c r="E349" t="n">
        <v>1645</v>
      </c>
      <c r="F349" s="69" t="n">
        <v>260</v>
      </c>
      <c r="G349" s="69" t="n">
        <v>125</v>
      </c>
      <c r="H349" s="69" t="n">
        <v>205625</v>
      </c>
      <c r="I349" s="5" t="n">
        <v>14393.75</v>
      </c>
      <c r="J349" s="69" t="n">
        <v>191231.25</v>
      </c>
      <c r="K349" s="69" t="n">
        <v>197400</v>
      </c>
      <c r="L349" s="69" t="n">
        <v>-6168.75</v>
      </c>
      <c r="M349" s="1" t="n">
        <v>41644</v>
      </c>
      <c r="N349" t="n">
        <v>5</v>
      </c>
      <c r="O349" t="inlineStr">
        <is>
          <t xml:space="preserve"> May </t>
        </is>
      </c>
      <c r="P349" t="n">
        <v>2014</v>
      </c>
      <c r="Q349">
        <f>IF(Financials[[#This Row],[ Units_Sold ]]&lt;&gt;INT(Financials[[#This Row],[ Units_Sold ]]),1,0)</f>
        <v/>
      </c>
      <c r="R349" s="10">
        <f>Financials[[#This Row],[ Profit ]]/Financials[[#This Row],[  Sales ]]</f>
        <v/>
      </c>
      <c r="S349" s="2">
        <f>Financials[[#This Row],[ COGS ]]/Financials[[#This Row],[  Sales ]]</f>
        <v/>
      </c>
      <c r="T349" s="3">
        <f>Financials[[#This Row],[ Discounts ]]/Financials[[#This Row],[  Sales ]]</f>
        <v/>
      </c>
      <c r="U349">
        <f>Financials[[#This Row],[  Sales ]]/Financials[[#This Row],[ Units_Sold ]]</f>
        <v/>
      </c>
      <c r="V349">
        <f>Financials[[#This Row],[ Profit ]]/Financials[[#This Row],[ Units_Sold ]]</f>
        <v/>
      </c>
      <c r="W349">
        <f>IF(Financials[[#This Row],[ Profit ]]&lt;0,1,0)</f>
        <v/>
      </c>
    </row>
    <row r="350">
      <c r="A350" t="inlineStr">
        <is>
          <t>Government</t>
        </is>
      </c>
      <c r="B350" t="inlineStr">
        <is>
          <t>France</t>
        </is>
      </c>
      <c r="C350" t="inlineStr">
        <is>
          <t xml:space="preserve"> Amarilla </t>
        </is>
      </c>
      <c r="D350" t="inlineStr">
        <is>
          <t xml:space="preserve"> Medium </t>
        </is>
      </c>
      <c r="E350" t="n">
        <v>2876</v>
      </c>
      <c r="F350" s="69" t="n">
        <v>260</v>
      </c>
      <c r="G350" s="69" t="n">
        <v>350</v>
      </c>
      <c r="H350" s="69" t="n">
        <v>1006600</v>
      </c>
      <c r="I350" s="5" t="n">
        <v>70462</v>
      </c>
      <c r="J350" s="69" t="n">
        <v>936138</v>
      </c>
      <c r="K350" s="69" t="n">
        <v>747760</v>
      </c>
      <c r="L350" s="69" t="n">
        <v>188378</v>
      </c>
      <c r="M350" s="1" t="n">
        <v>41648</v>
      </c>
      <c r="N350" t="n">
        <v>9</v>
      </c>
      <c r="O350" t="inlineStr">
        <is>
          <t xml:space="preserve"> September </t>
        </is>
      </c>
      <c r="P350" t="n">
        <v>2014</v>
      </c>
      <c r="Q350">
        <f>IF(Financials[[#This Row],[ Units_Sold ]]&lt;&gt;INT(Financials[[#This Row],[ Units_Sold ]]),1,0)</f>
        <v/>
      </c>
      <c r="R350" s="10">
        <f>Financials[[#This Row],[ Profit ]]/Financials[[#This Row],[  Sales ]]</f>
        <v/>
      </c>
      <c r="S350" s="2">
        <f>Financials[[#This Row],[ COGS ]]/Financials[[#This Row],[  Sales ]]</f>
        <v/>
      </c>
      <c r="T350" s="3">
        <f>Financials[[#This Row],[ Discounts ]]/Financials[[#This Row],[  Sales ]]</f>
        <v/>
      </c>
      <c r="U350">
        <f>Financials[[#This Row],[  Sales ]]/Financials[[#This Row],[ Units_Sold ]]</f>
        <v/>
      </c>
      <c r="V350">
        <f>Financials[[#This Row],[ Profit ]]/Financials[[#This Row],[ Units_Sold ]]</f>
        <v/>
      </c>
      <c r="W350">
        <f>IF(Financials[[#This Row],[ Profit ]]&lt;0,1,0)</f>
        <v/>
      </c>
    </row>
    <row r="351">
      <c r="A351" t="inlineStr">
        <is>
          <t>Enterprise</t>
        </is>
      </c>
      <c r="B351" t="inlineStr">
        <is>
          <t>Germany</t>
        </is>
      </c>
      <c r="C351" t="inlineStr">
        <is>
          <t xml:space="preserve"> Amarilla </t>
        </is>
      </c>
      <c r="D351" t="inlineStr">
        <is>
          <t xml:space="preserve"> Medium </t>
        </is>
      </c>
      <c r="E351" t="n">
        <v>994</v>
      </c>
      <c r="F351" s="69" t="n">
        <v>260</v>
      </c>
      <c r="G351" s="69" t="n">
        <v>125</v>
      </c>
      <c r="H351" s="69" t="n">
        <v>124250</v>
      </c>
      <c r="I351" s="5" t="n">
        <v>8697.5</v>
      </c>
      <c r="J351" s="69" t="n">
        <v>115552.5</v>
      </c>
      <c r="K351" s="69" t="n">
        <v>119280</v>
      </c>
      <c r="L351" s="69" t="n">
        <v>-3727.5</v>
      </c>
      <c r="M351" s="1" t="n">
        <v>41283</v>
      </c>
      <c r="N351" t="n">
        <v>9</v>
      </c>
      <c r="O351" t="inlineStr">
        <is>
          <t xml:space="preserve"> September </t>
        </is>
      </c>
      <c r="P351" t="n">
        <v>2013</v>
      </c>
      <c r="Q351">
        <f>IF(Financials[[#This Row],[ Units_Sold ]]&lt;&gt;INT(Financials[[#This Row],[ Units_Sold ]]),1,0)</f>
        <v/>
      </c>
      <c r="R351" s="10">
        <f>Financials[[#This Row],[ Profit ]]/Financials[[#This Row],[  Sales ]]</f>
        <v/>
      </c>
      <c r="S351" s="2">
        <f>Financials[[#This Row],[ COGS ]]/Financials[[#This Row],[  Sales ]]</f>
        <v/>
      </c>
      <c r="T351" s="3">
        <f>Financials[[#This Row],[ Discounts ]]/Financials[[#This Row],[  Sales ]]</f>
        <v/>
      </c>
      <c r="U351">
        <f>Financials[[#This Row],[  Sales ]]/Financials[[#This Row],[ Units_Sold ]]</f>
        <v/>
      </c>
      <c r="V351">
        <f>Financials[[#This Row],[ Profit ]]/Financials[[#This Row],[ Units_Sold ]]</f>
        <v/>
      </c>
      <c r="W351">
        <f>IF(Financials[[#This Row],[ Profit ]]&lt;0,1,0)</f>
        <v/>
      </c>
    </row>
    <row r="352">
      <c r="A352" t="inlineStr">
        <is>
          <t>Government</t>
        </is>
      </c>
      <c r="B352" t="inlineStr">
        <is>
          <t>Canada</t>
        </is>
      </c>
      <c r="C352" t="inlineStr">
        <is>
          <t xml:space="preserve"> Amarilla </t>
        </is>
      </c>
      <c r="D352" t="inlineStr">
        <is>
          <t xml:space="preserve"> Medium </t>
        </is>
      </c>
      <c r="E352" t="n">
        <v>1118</v>
      </c>
      <c r="F352" s="69" t="n">
        <v>260</v>
      </c>
      <c r="G352" s="69" t="n">
        <v>20</v>
      </c>
      <c r="H352" s="69" t="n">
        <v>22360</v>
      </c>
      <c r="I352" s="5" t="n">
        <v>1565.2</v>
      </c>
      <c r="J352" s="69" t="n">
        <v>20794.8</v>
      </c>
      <c r="K352" s="69" t="n">
        <v>11180</v>
      </c>
      <c r="L352" s="69" t="n">
        <v>9614.799999999999</v>
      </c>
      <c r="M352" s="1" t="n">
        <v>41650</v>
      </c>
      <c r="N352" t="n">
        <v>11</v>
      </c>
      <c r="O352" t="inlineStr">
        <is>
          <t xml:space="preserve"> November </t>
        </is>
      </c>
      <c r="P352" t="n">
        <v>2014</v>
      </c>
      <c r="Q352">
        <f>IF(Financials[[#This Row],[ Units_Sold ]]&lt;&gt;INT(Financials[[#This Row],[ Units_Sold ]]),1,0)</f>
        <v/>
      </c>
      <c r="R352" s="10">
        <f>Financials[[#This Row],[ Profit ]]/Financials[[#This Row],[  Sales ]]</f>
        <v/>
      </c>
      <c r="S352" s="2">
        <f>Financials[[#This Row],[ COGS ]]/Financials[[#This Row],[  Sales ]]</f>
        <v/>
      </c>
      <c r="T352" s="3">
        <f>Financials[[#This Row],[ Discounts ]]/Financials[[#This Row],[  Sales ]]</f>
        <v/>
      </c>
      <c r="U352">
        <f>Financials[[#This Row],[  Sales ]]/Financials[[#This Row],[ Units_Sold ]]</f>
        <v/>
      </c>
      <c r="V352">
        <f>Financials[[#This Row],[ Profit ]]/Financials[[#This Row],[ Units_Sold ]]</f>
        <v/>
      </c>
      <c r="W352">
        <f>IF(Financials[[#This Row],[ Profit ]]&lt;0,1,0)</f>
        <v/>
      </c>
    </row>
    <row r="353">
      <c r="A353" t="inlineStr">
        <is>
          <t>Small Business</t>
        </is>
      </c>
      <c r="B353" t="inlineStr">
        <is>
          <t>United States of America</t>
        </is>
      </c>
      <c r="C353" t="inlineStr">
        <is>
          <t xml:space="preserve"> Amarilla </t>
        </is>
      </c>
      <c r="D353" t="inlineStr">
        <is>
          <t xml:space="preserve"> Medium </t>
        </is>
      </c>
      <c r="E353" t="n">
        <v>1372</v>
      </c>
      <c r="F353" s="69" t="n">
        <v>260</v>
      </c>
      <c r="G353" s="69" t="n">
        <v>300</v>
      </c>
      <c r="H353" s="69" t="n">
        <v>411600</v>
      </c>
      <c r="I353" s="5" t="n">
        <v>28812</v>
      </c>
      <c r="J353" s="69" t="n">
        <v>382788</v>
      </c>
      <c r="K353" s="69" t="n">
        <v>343000</v>
      </c>
      <c r="L353" s="69" t="n">
        <v>39788</v>
      </c>
      <c r="M353" s="1" t="n">
        <v>41651</v>
      </c>
      <c r="N353" t="n">
        <v>12</v>
      </c>
      <c r="O353" t="inlineStr">
        <is>
          <t xml:space="preserve"> December </t>
        </is>
      </c>
      <c r="P353" t="n">
        <v>2014</v>
      </c>
      <c r="Q353">
        <f>IF(Financials[[#This Row],[ Units_Sold ]]&lt;&gt;INT(Financials[[#This Row],[ Units_Sold ]]),1,0)</f>
        <v/>
      </c>
      <c r="R353" s="10">
        <f>Financials[[#This Row],[ Profit ]]/Financials[[#This Row],[  Sales ]]</f>
        <v/>
      </c>
      <c r="S353" s="2">
        <f>Financials[[#This Row],[ COGS ]]/Financials[[#This Row],[  Sales ]]</f>
        <v/>
      </c>
      <c r="T353" s="3">
        <f>Financials[[#This Row],[ Discounts ]]/Financials[[#This Row],[  Sales ]]</f>
        <v/>
      </c>
      <c r="U353">
        <f>Financials[[#This Row],[  Sales ]]/Financials[[#This Row],[ Units_Sold ]]</f>
        <v/>
      </c>
      <c r="V353">
        <f>Financials[[#This Row],[ Profit ]]/Financials[[#This Row],[ Units_Sold ]]</f>
        <v/>
      </c>
      <c r="W353">
        <f>IF(Financials[[#This Row],[ Profit ]]&lt;0,1,0)</f>
        <v/>
      </c>
    </row>
    <row r="354">
      <c r="A354" t="inlineStr">
        <is>
          <t>Government</t>
        </is>
      </c>
      <c r="B354" t="inlineStr">
        <is>
          <t>Canada</t>
        </is>
      </c>
      <c r="C354" t="inlineStr">
        <is>
          <t xml:space="preserve"> Montana </t>
        </is>
      </c>
      <c r="D354" t="inlineStr">
        <is>
          <t xml:space="preserve"> Medium </t>
        </is>
      </c>
      <c r="E354" t="n">
        <v>488</v>
      </c>
      <c r="F354" s="69" t="n">
        <v>5</v>
      </c>
      <c r="G354" s="69" t="n">
        <v>7</v>
      </c>
      <c r="H354" s="69" t="n">
        <v>3416</v>
      </c>
      <c r="I354" s="5" t="n">
        <v>273.28</v>
      </c>
      <c r="J354" s="69" t="n">
        <v>3142.72</v>
      </c>
      <c r="K354" s="69" t="n">
        <v>2440</v>
      </c>
      <c r="L354" s="69" t="n">
        <v>702.72</v>
      </c>
      <c r="M354" s="1" t="n">
        <v>41641</v>
      </c>
      <c r="N354" t="n">
        <v>2</v>
      </c>
      <c r="O354" t="inlineStr">
        <is>
          <t xml:space="preserve"> February </t>
        </is>
      </c>
      <c r="P354" t="n">
        <v>2014</v>
      </c>
      <c r="Q354">
        <f>IF(Financials[[#This Row],[ Units_Sold ]]&lt;&gt;INT(Financials[[#This Row],[ Units_Sold ]]),1,0)</f>
        <v/>
      </c>
      <c r="R354" s="10">
        <f>Financials[[#This Row],[ Profit ]]/Financials[[#This Row],[  Sales ]]</f>
        <v/>
      </c>
      <c r="S354" s="2">
        <f>Financials[[#This Row],[ COGS ]]/Financials[[#This Row],[  Sales ]]</f>
        <v/>
      </c>
      <c r="T354" s="3">
        <f>Financials[[#This Row],[ Discounts ]]/Financials[[#This Row],[  Sales ]]</f>
        <v/>
      </c>
      <c r="U354">
        <f>Financials[[#This Row],[  Sales ]]/Financials[[#This Row],[ Units_Sold ]]</f>
        <v/>
      </c>
      <c r="V354">
        <f>Financials[[#This Row],[ Profit ]]/Financials[[#This Row],[ Units_Sold ]]</f>
        <v/>
      </c>
      <c r="W354">
        <f>IF(Financials[[#This Row],[ Profit ]]&lt;0,1,0)</f>
        <v/>
      </c>
    </row>
    <row r="355">
      <c r="A355" t="inlineStr">
        <is>
          <t>Government</t>
        </is>
      </c>
      <c r="B355" t="inlineStr">
        <is>
          <t>United States of America</t>
        </is>
      </c>
      <c r="C355" t="inlineStr">
        <is>
          <t xml:space="preserve"> Montana </t>
        </is>
      </c>
      <c r="D355" t="inlineStr">
        <is>
          <t xml:space="preserve"> Medium </t>
        </is>
      </c>
      <c r="E355" t="n">
        <v>1282</v>
      </c>
      <c r="F355" s="69" t="n">
        <v>5</v>
      </c>
      <c r="G355" s="69" t="n">
        <v>20</v>
      </c>
      <c r="H355" s="69" t="n">
        <v>25640</v>
      </c>
      <c r="I355" s="5" t="n">
        <v>2051.2</v>
      </c>
      <c r="J355" s="69" t="n">
        <v>23588.8</v>
      </c>
      <c r="K355" s="69" t="n">
        <v>12820</v>
      </c>
      <c r="L355" s="69" t="n">
        <v>10768.8</v>
      </c>
      <c r="M355" s="1" t="n">
        <v>41645</v>
      </c>
      <c r="N355" t="n">
        <v>6</v>
      </c>
      <c r="O355" t="inlineStr">
        <is>
          <t xml:space="preserve"> June </t>
        </is>
      </c>
      <c r="P355" t="n">
        <v>2014</v>
      </c>
      <c r="Q355">
        <f>IF(Financials[[#This Row],[ Units_Sold ]]&lt;&gt;INT(Financials[[#This Row],[ Units_Sold ]]),1,0)</f>
        <v/>
      </c>
      <c r="R355" s="10">
        <f>Financials[[#This Row],[ Profit ]]/Financials[[#This Row],[  Sales ]]</f>
        <v/>
      </c>
      <c r="S355" s="2">
        <f>Financials[[#This Row],[ COGS ]]/Financials[[#This Row],[  Sales ]]</f>
        <v/>
      </c>
      <c r="T355" s="3">
        <f>Financials[[#This Row],[ Discounts ]]/Financials[[#This Row],[  Sales ]]</f>
        <v/>
      </c>
      <c r="U355">
        <f>Financials[[#This Row],[  Sales ]]/Financials[[#This Row],[ Units_Sold ]]</f>
        <v/>
      </c>
      <c r="V355">
        <f>Financials[[#This Row],[ Profit ]]/Financials[[#This Row],[ Units_Sold ]]</f>
        <v/>
      </c>
      <c r="W355">
        <f>IF(Financials[[#This Row],[ Profit ]]&lt;0,1,0)</f>
        <v/>
      </c>
    </row>
    <row r="356">
      <c r="A356" t="inlineStr">
        <is>
          <t>Government</t>
        </is>
      </c>
      <c r="B356" t="inlineStr">
        <is>
          <t>Canada</t>
        </is>
      </c>
      <c r="C356" t="inlineStr">
        <is>
          <t xml:space="preserve"> Paseo </t>
        </is>
      </c>
      <c r="D356" t="inlineStr">
        <is>
          <t xml:space="preserve"> Medium </t>
        </is>
      </c>
      <c r="E356" t="n">
        <v>257</v>
      </c>
      <c r="F356" s="69" t="n">
        <v>10</v>
      </c>
      <c r="G356" s="69" t="n">
        <v>7</v>
      </c>
      <c r="H356" s="69" t="n">
        <v>1799</v>
      </c>
      <c r="I356" s="5" t="n">
        <v>143.92</v>
      </c>
      <c r="J356" s="69" t="n">
        <v>1655.08</v>
      </c>
      <c r="K356" s="69" t="n">
        <v>1285</v>
      </c>
      <c r="L356" s="69" t="n">
        <v>370.08</v>
      </c>
      <c r="M356" s="1" t="n">
        <v>41644</v>
      </c>
      <c r="N356" t="n">
        <v>5</v>
      </c>
      <c r="O356" t="inlineStr">
        <is>
          <t xml:space="preserve"> May </t>
        </is>
      </c>
      <c r="P356" t="n">
        <v>2014</v>
      </c>
      <c r="Q356">
        <f>IF(Financials[[#This Row],[ Units_Sold ]]&lt;&gt;INT(Financials[[#This Row],[ Units_Sold ]]),1,0)</f>
        <v/>
      </c>
      <c r="R356" s="10">
        <f>Financials[[#This Row],[ Profit ]]/Financials[[#This Row],[  Sales ]]</f>
        <v/>
      </c>
      <c r="S356" s="2">
        <f>Financials[[#This Row],[ COGS ]]/Financials[[#This Row],[  Sales ]]</f>
        <v/>
      </c>
      <c r="T356" s="3">
        <f>Financials[[#This Row],[ Discounts ]]/Financials[[#This Row],[  Sales ]]</f>
        <v/>
      </c>
      <c r="U356">
        <f>Financials[[#This Row],[  Sales ]]/Financials[[#This Row],[ Units_Sold ]]</f>
        <v/>
      </c>
      <c r="V356">
        <f>Financials[[#This Row],[ Profit ]]/Financials[[#This Row],[ Units_Sold ]]</f>
        <v/>
      </c>
      <c r="W356">
        <f>IF(Financials[[#This Row],[ Profit ]]&lt;0,1,0)</f>
        <v/>
      </c>
    </row>
    <row r="357">
      <c r="A357" t="inlineStr">
        <is>
          <t>Government</t>
        </is>
      </c>
      <c r="B357" t="inlineStr">
        <is>
          <t>United States of America</t>
        </is>
      </c>
      <c r="C357" t="inlineStr">
        <is>
          <t xml:space="preserve"> Amarilla </t>
        </is>
      </c>
      <c r="D357" t="inlineStr">
        <is>
          <t xml:space="preserve"> Medium </t>
        </is>
      </c>
      <c r="E357" t="n">
        <v>1282</v>
      </c>
      <c r="F357" s="69" t="n">
        <v>260</v>
      </c>
      <c r="G357" s="69" t="n">
        <v>20</v>
      </c>
      <c r="H357" s="69" t="n">
        <v>25640</v>
      </c>
      <c r="I357" s="5" t="n">
        <v>2051.2</v>
      </c>
      <c r="J357" s="69" t="n">
        <v>23588.8</v>
      </c>
      <c r="K357" s="69" t="n">
        <v>12820</v>
      </c>
      <c r="L357" s="69" t="n">
        <v>10768.8</v>
      </c>
      <c r="M357" s="1" t="n">
        <v>41645</v>
      </c>
      <c r="N357" t="n">
        <v>6</v>
      </c>
      <c r="O357" t="inlineStr">
        <is>
          <t xml:space="preserve"> June </t>
        </is>
      </c>
      <c r="P357" t="n">
        <v>2014</v>
      </c>
      <c r="Q357">
        <f>IF(Financials[[#This Row],[ Units_Sold ]]&lt;&gt;INT(Financials[[#This Row],[ Units_Sold ]]),1,0)</f>
        <v/>
      </c>
      <c r="R357" s="10">
        <f>Financials[[#This Row],[ Profit ]]/Financials[[#This Row],[  Sales ]]</f>
        <v/>
      </c>
      <c r="S357" s="2">
        <f>Financials[[#This Row],[ COGS ]]/Financials[[#This Row],[  Sales ]]</f>
        <v/>
      </c>
      <c r="T357" s="3">
        <f>Financials[[#This Row],[ Discounts ]]/Financials[[#This Row],[  Sales ]]</f>
        <v/>
      </c>
      <c r="U357">
        <f>Financials[[#This Row],[  Sales ]]/Financials[[#This Row],[ Units_Sold ]]</f>
        <v/>
      </c>
      <c r="V357">
        <f>Financials[[#This Row],[ Profit ]]/Financials[[#This Row],[ Units_Sold ]]</f>
        <v/>
      </c>
      <c r="W357">
        <f>IF(Financials[[#This Row],[ Profit ]]&lt;0,1,0)</f>
        <v/>
      </c>
    </row>
    <row r="358">
      <c r="A358" t="inlineStr">
        <is>
          <t>Enterprise</t>
        </is>
      </c>
      <c r="B358" t="inlineStr">
        <is>
          <t>Mexico</t>
        </is>
      </c>
      <c r="C358" t="inlineStr">
        <is>
          <t xml:space="preserve"> Carretera </t>
        </is>
      </c>
      <c r="D358" t="inlineStr">
        <is>
          <t xml:space="preserve"> Medium </t>
        </is>
      </c>
      <c r="E358" t="n">
        <v>1540</v>
      </c>
      <c r="F358" s="69" t="n">
        <v>3</v>
      </c>
      <c r="G358" s="69" t="n">
        <v>125</v>
      </c>
      <c r="H358" s="69" t="n">
        <v>192500</v>
      </c>
      <c r="I358" s="5" t="n">
        <v>15400</v>
      </c>
      <c r="J358" s="69" t="n">
        <v>177100</v>
      </c>
      <c r="K358" s="69" t="n">
        <v>184800</v>
      </c>
      <c r="L358" s="69" t="n">
        <v>-7700</v>
      </c>
      <c r="M358" s="1" t="n">
        <v>41647</v>
      </c>
      <c r="N358" t="n">
        <v>8</v>
      </c>
      <c r="O358" t="inlineStr">
        <is>
          <t xml:space="preserve"> August </t>
        </is>
      </c>
      <c r="P358" t="n">
        <v>2014</v>
      </c>
      <c r="Q358">
        <f>IF(Financials[[#This Row],[ Units_Sold ]]&lt;&gt;INT(Financials[[#This Row],[ Units_Sold ]]),1,0)</f>
        <v/>
      </c>
      <c r="R358" s="10">
        <f>Financials[[#This Row],[ Profit ]]/Financials[[#This Row],[  Sales ]]</f>
        <v/>
      </c>
      <c r="S358" s="2">
        <f>Financials[[#This Row],[ COGS ]]/Financials[[#This Row],[  Sales ]]</f>
        <v/>
      </c>
      <c r="T358" s="3">
        <f>Financials[[#This Row],[ Discounts ]]/Financials[[#This Row],[  Sales ]]</f>
        <v/>
      </c>
      <c r="U358">
        <f>Financials[[#This Row],[  Sales ]]/Financials[[#This Row],[ Units_Sold ]]</f>
        <v/>
      </c>
      <c r="V358">
        <f>Financials[[#This Row],[ Profit ]]/Financials[[#This Row],[ Units_Sold ]]</f>
        <v/>
      </c>
      <c r="W358">
        <f>IF(Financials[[#This Row],[ Profit ]]&lt;0,1,0)</f>
        <v/>
      </c>
    </row>
    <row r="359">
      <c r="A359" t="inlineStr">
        <is>
          <t>Midmarket</t>
        </is>
      </c>
      <c r="B359" t="inlineStr">
        <is>
          <t>France</t>
        </is>
      </c>
      <c r="C359" t="inlineStr">
        <is>
          <t xml:space="preserve"> Carretera </t>
        </is>
      </c>
      <c r="D359" t="inlineStr">
        <is>
          <t xml:space="preserve"> Medium </t>
        </is>
      </c>
      <c r="E359" t="n">
        <v>490</v>
      </c>
      <c r="F359" s="69" t="n">
        <v>3</v>
      </c>
      <c r="G359" s="69" t="n">
        <v>15</v>
      </c>
      <c r="H359" s="69" t="n">
        <v>7350</v>
      </c>
      <c r="I359" s="5" t="n">
        <v>588</v>
      </c>
      <c r="J359" s="69" t="n">
        <v>6762</v>
      </c>
      <c r="K359" s="69" t="n">
        <v>4900</v>
      </c>
      <c r="L359" s="69" t="n">
        <v>1862</v>
      </c>
      <c r="M359" s="1" t="n">
        <v>41650</v>
      </c>
      <c r="N359" t="n">
        <v>11</v>
      </c>
      <c r="O359" t="inlineStr">
        <is>
          <t xml:space="preserve"> November </t>
        </is>
      </c>
      <c r="P359" t="n">
        <v>2014</v>
      </c>
      <c r="Q359">
        <f>IF(Financials[[#This Row],[ Units_Sold ]]&lt;&gt;INT(Financials[[#This Row],[ Units_Sold ]]),1,0)</f>
        <v/>
      </c>
      <c r="R359" s="10">
        <f>Financials[[#This Row],[ Profit ]]/Financials[[#This Row],[  Sales ]]</f>
        <v/>
      </c>
      <c r="S359" s="2">
        <f>Financials[[#This Row],[ COGS ]]/Financials[[#This Row],[  Sales ]]</f>
        <v/>
      </c>
      <c r="T359" s="3">
        <f>Financials[[#This Row],[ Discounts ]]/Financials[[#This Row],[  Sales ]]</f>
        <v/>
      </c>
      <c r="U359">
        <f>Financials[[#This Row],[  Sales ]]/Financials[[#This Row],[ Units_Sold ]]</f>
        <v/>
      </c>
      <c r="V359">
        <f>Financials[[#This Row],[ Profit ]]/Financials[[#This Row],[ Units_Sold ]]</f>
        <v/>
      </c>
      <c r="W359">
        <f>IF(Financials[[#This Row],[ Profit ]]&lt;0,1,0)</f>
        <v/>
      </c>
    </row>
    <row r="360">
      <c r="A360" t="inlineStr">
        <is>
          <t>Government</t>
        </is>
      </c>
      <c r="B360" t="inlineStr">
        <is>
          <t>Mexico</t>
        </is>
      </c>
      <c r="C360" t="inlineStr">
        <is>
          <t xml:space="preserve"> Carretera </t>
        </is>
      </c>
      <c r="D360" t="inlineStr">
        <is>
          <t xml:space="preserve"> Medium </t>
        </is>
      </c>
      <c r="E360" t="n">
        <v>1362</v>
      </c>
      <c r="F360" s="69" t="n">
        <v>3</v>
      </c>
      <c r="G360" s="69" t="n">
        <v>350</v>
      </c>
      <c r="H360" s="69" t="n">
        <v>476700</v>
      </c>
      <c r="I360" s="5" t="n">
        <v>38136</v>
      </c>
      <c r="J360" s="69" t="n">
        <v>438564</v>
      </c>
      <c r="K360" s="69" t="n">
        <v>354120</v>
      </c>
      <c r="L360" s="69" t="n">
        <v>84444</v>
      </c>
      <c r="M360" s="1" t="n">
        <v>41651</v>
      </c>
      <c r="N360" t="n">
        <v>12</v>
      </c>
      <c r="O360" t="inlineStr">
        <is>
          <t xml:space="preserve"> December </t>
        </is>
      </c>
      <c r="P360" t="n">
        <v>2014</v>
      </c>
      <c r="Q360">
        <f>IF(Financials[[#This Row],[ Units_Sold ]]&lt;&gt;INT(Financials[[#This Row],[ Units_Sold ]]),1,0)</f>
        <v/>
      </c>
      <c r="R360" s="10">
        <f>Financials[[#This Row],[ Profit ]]/Financials[[#This Row],[  Sales ]]</f>
        <v/>
      </c>
      <c r="S360" s="2">
        <f>Financials[[#This Row],[ COGS ]]/Financials[[#This Row],[  Sales ]]</f>
        <v/>
      </c>
      <c r="T360" s="3">
        <f>Financials[[#This Row],[ Discounts ]]/Financials[[#This Row],[  Sales ]]</f>
        <v/>
      </c>
      <c r="U360">
        <f>Financials[[#This Row],[  Sales ]]/Financials[[#This Row],[ Units_Sold ]]</f>
        <v/>
      </c>
      <c r="V360">
        <f>Financials[[#This Row],[ Profit ]]/Financials[[#This Row],[ Units_Sold ]]</f>
        <v/>
      </c>
      <c r="W360">
        <f>IF(Financials[[#This Row],[ Profit ]]&lt;0,1,0)</f>
        <v/>
      </c>
    </row>
    <row r="361">
      <c r="A361" t="inlineStr">
        <is>
          <t>Midmarket</t>
        </is>
      </c>
      <c r="B361" t="inlineStr">
        <is>
          <t>France</t>
        </is>
      </c>
      <c r="C361" t="inlineStr">
        <is>
          <t xml:space="preserve"> Montana </t>
        </is>
      </c>
      <c r="D361" t="inlineStr">
        <is>
          <t xml:space="preserve"> Medium </t>
        </is>
      </c>
      <c r="E361" t="n">
        <v>2501</v>
      </c>
      <c r="F361" s="69" t="n">
        <v>5</v>
      </c>
      <c r="G361" s="69" t="n">
        <v>15</v>
      </c>
      <c r="H361" s="69" t="n">
        <v>37515</v>
      </c>
      <c r="I361" s="5" t="n">
        <v>3001.2</v>
      </c>
      <c r="J361" s="69" t="n">
        <v>34513.8</v>
      </c>
      <c r="K361" s="69" t="n">
        <v>25010</v>
      </c>
      <c r="L361" s="69" t="n">
        <v>9503.799999999999</v>
      </c>
      <c r="M361" s="1" t="n">
        <v>41642</v>
      </c>
      <c r="N361" t="n">
        <v>3</v>
      </c>
      <c r="O361" t="inlineStr">
        <is>
          <t xml:space="preserve"> March </t>
        </is>
      </c>
      <c r="P361" t="n">
        <v>2014</v>
      </c>
      <c r="Q361">
        <f>IF(Financials[[#This Row],[ Units_Sold ]]&lt;&gt;INT(Financials[[#This Row],[ Units_Sold ]]),1,0)</f>
        <v/>
      </c>
      <c r="R361" s="10">
        <f>Financials[[#This Row],[ Profit ]]/Financials[[#This Row],[  Sales ]]</f>
        <v/>
      </c>
      <c r="S361" s="2">
        <f>Financials[[#This Row],[ COGS ]]/Financials[[#This Row],[  Sales ]]</f>
        <v/>
      </c>
      <c r="T361" s="3">
        <f>Financials[[#This Row],[ Discounts ]]/Financials[[#This Row],[  Sales ]]</f>
        <v/>
      </c>
      <c r="U361">
        <f>Financials[[#This Row],[  Sales ]]/Financials[[#This Row],[ Units_Sold ]]</f>
        <v/>
      </c>
      <c r="V361">
        <f>Financials[[#This Row],[ Profit ]]/Financials[[#This Row],[ Units_Sold ]]</f>
        <v/>
      </c>
      <c r="W361">
        <f>IF(Financials[[#This Row],[ Profit ]]&lt;0,1,0)</f>
        <v/>
      </c>
    </row>
    <row r="362">
      <c r="A362" t="inlineStr">
        <is>
          <t>Government</t>
        </is>
      </c>
      <c r="B362" t="inlineStr">
        <is>
          <t>Canada</t>
        </is>
      </c>
      <c r="C362" t="inlineStr">
        <is>
          <t xml:space="preserve"> Montana </t>
        </is>
      </c>
      <c r="D362" t="inlineStr">
        <is>
          <t xml:space="preserve"> Medium </t>
        </is>
      </c>
      <c r="E362" t="n">
        <v>708</v>
      </c>
      <c r="F362" s="69" t="n">
        <v>5</v>
      </c>
      <c r="G362" s="69" t="n">
        <v>20</v>
      </c>
      <c r="H362" s="69" t="n">
        <v>14160</v>
      </c>
      <c r="I362" s="5" t="n">
        <v>1132.8</v>
      </c>
      <c r="J362" s="69" t="n">
        <v>13027.2</v>
      </c>
      <c r="K362" s="69" t="n">
        <v>7080</v>
      </c>
      <c r="L362" s="69" t="n">
        <v>5947.2</v>
      </c>
      <c r="M362" s="1" t="n">
        <v>41645</v>
      </c>
      <c r="N362" t="n">
        <v>6</v>
      </c>
      <c r="O362" t="inlineStr">
        <is>
          <t xml:space="preserve"> June </t>
        </is>
      </c>
      <c r="P362" t="n">
        <v>2014</v>
      </c>
      <c r="Q362">
        <f>IF(Financials[[#This Row],[ Units_Sold ]]&lt;&gt;INT(Financials[[#This Row],[ Units_Sold ]]),1,0)</f>
        <v/>
      </c>
      <c r="R362" s="10">
        <f>Financials[[#This Row],[ Profit ]]/Financials[[#This Row],[  Sales ]]</f>
        <v/>
      </c>
      <c r="S362" s="2">
        <f>Financials[[#This Row],[ COGS ]]/Financials[[#This Row],[  Sales ]]</f>
        <v/>
      </c>
      <c r="T362" s="3">
        <f>Financials[[#This Row],[ Discounts ]]/Financials[[#This Row],[  Sales ]]</f>
        <v/>
      </c>
      <c r="U362">
        <f>Financials[[#This Row],[  Sales ]]/Financials[[#This Row],[ Units_Sold ]]</f>
        <v/>
      </c>
      <c r="V362">
        <f>Financials[[#This Row],[ Profit ]]/Financials[[#This Row],[ Units_Sold ]]</f>
        <v/>
      </c>
      <c r="W362">
        <f>IF(Financials[[#This Row],[ Profit ]]&lt;0,1,0)</f>
        <v/>
      </c>
    </row>
    <row r="363">
      <c r="A363" t="inlineStr">
        <is>
          <t>Government</t>
        </is>
      </c>
      <c r="B363" t="inlineStr">
        <is>
          <t>Germany</t>
        </is>
      </c>
      <c r="C363" t="inlineStr">
        <is>
          <t xml:space="preserve"> Montana </t>
        </is>
      </c>
      <c r="D363" t="inlineStr">
        <is>
          <t xml:space="preserve"> Medium </t>
        </is>
      </c>
      <c r="E363" t="n">
        <v>645</v>
      </c>
      <c r="F363" s="69" t="n">
        <v>5</v>
      </c>
      <c r="G363" s="69" t="n">
        <v>20</v>
      </c>
      <c r="H363" s="69" t="n">
        <v>12900</v>
      </c>
      <c r="I363" s="5" t="n">
        <v>1032</v>
      </c>
      <c r="J363" s="69" t="n">
        <v>11868</v>
      </c>
      <c r="K363" s="69" t="n">
        <v>6450</v>
      </c>
      <c r="L363" s="69" t="n">
        <v>5418</v>
      </c>
      <c r="M363" s="1" t="n">
        <v>41646</v>
      </c>
      <c r="N363" t="n">
        <v>7</v>
      </c>
      <c r="O363" t="inlineStr">
        <is>
          <t xml:space="preserve"> July </t>
        </is>
      </c>
      <c r="P363" t="n">
        <v>2014</v>
      </c>
      <c r="Q363">
        <f>IF(Financials[[#This Row],[ Units_Sold ]]&lt;&gt;INT(Financials[[#This Row],[ Units_Sold ]]),1,0)</f>
        <v/>
      </c>
      <c r="R363" s="10">
        <f>Financials[[#This Row],[ Profit ]]/Financials[[#This Row],[  Sales ]]</f>
        <v/>
      </c>
      <c r="S363" s="2">
        <f>Financials[[#This Row],[ COGS ]]/Financials[[#This Row],[  Sales ]]</f>
        <v/>
      </c>
      <c r="T363" s="3">
        <f>Financials[[#This Row],[ Discounts ]]/Financials[[#This Row],[  Sales ]]</f>
        <v/>
      </c>
      <c r="U363">
        <f>Financials[[#This Row],[  Sales ]]/Financials[[#This Row],[ Units_Sold ]]</f>
        <v/>
      </c>
      <c r="V363">
        <f>Financials[[#This Row],[ Profit ]]/Financials[[#This Row],[ Units_Sold ]]</f>
        <v/>
      </c>
      <c r="W363">
        <f>IF(Financials[[#This Row],[ Profit ]]&lt;0,1,0)</f>
        <v/>
      </c>
    </row>
    <row r="364">
      <c r="A364" t="inlineStr">
        <is>
          <t>Small Business</t>
        </is>
      </c>
      <c r="B364" t="inlineStr">
        <is>
          <t>France</t>
        </is>
      </c>
      <c r="C364" t="inlineStr">
        <is>
          <t xml:space="preserve"> Montana </t>
        </is>
      </c>
      <c r="D364" t="inlineStr">
        <is>
          <t xml:space="preserve"> Medium </t>
        </is>
      </c>
      <c r="E364" t="n">
        <v>1562</v>
      </c>
      <c r="F364" s="69" t="n">
        <v>5</v>
      </c>
      <c r="G364" s="69" t="n">
        <v>300</v>
      </c>
      <c r="H364" s="69" t="n">
        <v>468600</v>
      </c>
      <c r="I364" s="5" t="n">
        <v>37488</v>
      </c>
      <c r="J364" s="69" t="n">
        <v>431112</v>
      </c>
      <c r="K364" s="69" t="n">
        <v>390500</v>
      </c>
      <c r="L364" s="69" t="n">
        <v>40612</v>
      </c>
      <c r="M364" s="1" t="n">
        <v>41647</v>
      </c>
      <c r="N364" t="n">
        <v>8</v>
      </c>
      <c r="O364" t="inlineStr">
        <is>
          <t xml:space="preserve"> August </t>
        </is>
      </c>
      <c r="P364" t="n">
        <v>2014</v>
      </c>
      <c r="Q364">
        <f>IF(Financials[[#This Row],[ Units_Sold ]]&lt;&gt;INT(Financials[[#This Row],[ Units_Sold ]]),1,0)</f>
        <v/>
      </c>
      <c r="R364" s="10">
        <f>Financials[[#This Row],[ Profit ]]/Financials[[#This Row],[  Sales ]]</f>
        <v/>
      </c>
      <c r="S364" s="2">
        <f>Financials[[#This Row],[ COGS ]]/Financials[[#This Row],[  Sales ]]</f>
        <v/>
      </c>
      <c r="T364" s="3">
        <f>Financials[[#This Row],[ Discounts ]]/Financials[[#This Row],[  Sales ]]</f>
        <v/>
      </c>
      <c r="U364">
        <f>Financials[[#This Row],[  Sales ]]/Financials[[#This Row],[ Units_Sold ]]</f>
        <v/>
      </c>
      <c r="V364">
        <f>Financials[[#This Row],[ Profit ]]/Financials[[#This Row],[ Units_Sold ]]</f>
        <v/>
      </c>
      <c r="W364">
        <f>IF(Financials[[#This Row],[ Profit ]]&lt;0,1,0)</f>
        <v/>
      </c>
    </row>
    <row r="365">
      <c r="A365" t="inlineStr">
        <is>
          <t>Small Business</t>
        </is>
      </c>
      <c r="B365" t="inlineStr">
        <is>
          <t>Canada</t>
        </is>
      </c>
      <c r="C365" t="inlineStr">
        <is>
          <t xml:space="preserve"> Montana </t>
        </is>
      </c>
      <c r="D365" t="inlineStr">
        <is>
          <t xml:space="preserve"> Medium </t>
        </is>
      </c>
      <c r="E365" t="n">
        <v>1283</v>
      </c>
      <c r="F365" s="69" t="n">
        <v>5</v>
      </c>
      <c r="G365" s="69" t="n">
        <v>300</v>
      </c>
      <c r="H365" s="69" t="n">
        <v>384900</v>
      </c>
      <c r="I365" s="5" t="n">
        <v>30792</v>
      </c>
      <c r="J365" s="69" t="n">
        <v>354108</v>
      </c>
      <c r="K365" s="69" t="n">
        <v>320750</v>
      </c>
      <c r="L365" s="69" t="n">
        <v>33358</v>
      </c>
      <c r="M365" s="1" t="n">
        <v>41283</v>
      </c>
      <c r="N365" t="n">
        <v>9</v>
      </c>
      <c r="O365" t="inlineStr">
        <is>
          <t xml:space="preserve"> September </t>
        </is>
      </c>
      <c r="P365" t="n">
        <v>2013</v>
      </c>
      <c r="Q365">
        <f>IF(Financials[[#This Row],[ Units_Sold ]]&lt;&gt;INT(Financials[[#This Row],[ Units_Sold ]]),1,0)</f>
        <v/>
      </c>
      <c r="R365" s="10">
        <f>Financials[[#This Row],[ Profit ]]/Financials[[#This Row],[  Sales ]]</f>
        <v/>
      </c>
      <c r="S365" s="2">
        <f>Financials[[#This Row],[ COGS ]]/Financials[[#This Row],[  Sales ]]</f>
        <v/>
      </c>
      <c r="T365" s="3">
        <f>Financials[[#This Row],[ Discounts ]]/Financials[[#This Row],[  Sales ]]</f>
        <v/>
      </c>
      <c r="U365">
        <f>Financials[[#This Row],[  Sales ]]/Financials[[#This Row],[ Units_Sold ]]</f>
        <v/>
      </c>
      <c r="V365">
        <f>Financials[[#This Row],[ Profit ]]/Financials[[#This Row],[ Units_Sold ]]</f>
        <v/>
      </c>
      <c r="W365">
        <f>IF(Financials[[#This Row],[ Profit ]]&lt;0,1,0)</f>
        <v/>
      </c>
    </row>
    <row r="366">
      <c r="A366" t="inlineStr">
        <is>
          <t>Midmarket</t>
        </is>
      </c>
      <c r="B366" t="inlineStr">
        <is>
          <t>Germany</t>
        </is>
      </c>
      <c r="C366" t="inlineStr">
        <is>
          <t xml:space="preserve"> Montana </t>
        </is>
      </c>
      <c r="D366" t="inlineStr">
        <is>
          <t xml:space="preserve"> Medium </t>
        </is>
      </c>
      <c r="E366" t="n">
        <v>711</v>
      </c>
      <c r="F366" s="69" t="n">
        <v>5</v>
      </c>
      <c r="G366" s="69" t="n">
        <v>15</v>
      </c>
      <c r="H366" s="69" t="n">
        <v>10665</v>
      </c>
      <c r="I366" s="5" t="n">
        <v>853.2</v>
      </c>
      <c r="J366" s="69" t="n">
        <v>9811.799999999999</v>
      </c>
      <c r="K366" s="69" t="n">
        <v>7110</v>
      </c>
      <c r="L366" s="69" t="n">
        <v>2701.8</v>
      </c>
      <c r="M366" s="1" t="n">
        <v>41651</v>
      </c>
      <c r="N366" t="n">
        <v>12</v>
      </c>
      <c r="O366" t="inlineStr">
        <is>
          <t xml:space="preserve"> December </t>
        </is>
      </c>
      <c r="P366" t="n">
        <v>2014</v>
      </c>
      <c r="Q366">
        <f>IF(Financials[[#This Row],[ Units_Sold ]]&lt;&gt;INT(Financials[[#This Row],[ Units_Sold ]]),1,0)</f>
        <v/>
      </c>
      <c r="R366" s="10">
        <f>Financials[[#This Row],[ Profit ]]/Financials[[#This Row],[  Sales ]]</f>
        <v/>
      </c>
      <c r="S366" s="2">
        <f>Financials[[#This Row],[ COGS ]]/Financials[[#This Row],[  Sales ]]</f>
        <v/>
      </c>
      <c r="T366" s="3">
        <f>Financials[[#This Row],[ Discounts ]]/Financials[[#This Row],[  Sales ]]</f>
        <v/>
      </c>
      <c r="U366">
        <f>Financials[[#This Row],[  Sales ]]/Financials[[#This Row],[ Units_Sold ]]</f>
        <v/>
      </c>
      <c r="V366">
        <f>Financials[[#This Row],[ Profit ]]/Financials[[#This Row],[ Units_Sold ]]</f>
        <v/>
      </c>
      <c r="W366">
        <f>IF(Financials[[#This Row],[ Profit ]]&lt;0,1,0)</f>
        <v/>
      </c>
    </row>
    <row r="367">
      <c r="A367" t="inlineStr">
        <is>
          <t>Enterprise</t>
        </is>
      </c>
      <c r="B367" t="inlineStr">
        <is>
          <t>Mexico</t>
        </is>
      </c>
      <c r="C367" t="inlineStr">
        <is>
          <t xml:space="preserve"> Paseo </t>
        </is>
      </c>
      <c r="D367" t="inlineStr">
        <is>
          <t xml:space="preserve"> Medium </t>
        </is>
      </c>
      <c r="E367" t="n">
        <v>1114</v>
      </c>
      <c r="F367" s="69" t="n">
        <v>10</v>
      </c>
      <c r="G367" s="69" t="n">
        <v>125</v>
      </c>
      <c r="H367" s="69" t="n">
        <v>139250</v>
      </c>
      <c r="I367" s="5" t="n">
        <v>11140</v>
      </c>
      <c r="J367" s="69" t="n">
        <v>128110</v>
      </c>
      <c r="K367" s="69" t="n">
        <v>133680</v>
      </c>
      <c r="L367" s="69" t="n">
        <v>-5570</v>
      </c>
      <c r="M367" s="1" t="n">
        <v>41642</v>
      </c>
      <c r="N367" t="n">
        <v>3</v>
      </c>
      <c r="O367" t="inlineStr">
        <is>
          <t xml:space="preserve"> March </t>
        </is>
      </c>
      <c r="P367" t="n">
        <v>2014</v>
      </c>
      <c r="Q367">
        <f>IF(Financials[[#This Row],[ Units_Sold ]]&lt;&gt;INT(Financials[[#This Row],[ Units_Sold ]]),1,0)</f>
        <v/>
      </c>
      <c r="R367" s="10">
        <f>Financials[[#This Row],[ Profit ]]/Financials[[#This Row],[  Sales ]]</f>
        <v/>
      </c>
      <c r="S367" s="2">
        <f>Financials[[#This Row],[ COGS ]]/Financials[[#This Row],[  Sales ]]</f>
        <v/>
      </c>
      <c r="T367" s="3">
        <f>Financials[[#This Row],[ Discounts ]]/Financials[[#This Row],[  Sales ]]</f>
        <v/>
      </c>
      <c r="U367">
        <f>Financials[[#This Row],[  Sales ]]/Financials[[#This Row],[ Units_Sold ]]</f>
        <v/>
      </c>
      <c r="V367">
        <f>Financials[[#This Row],[ Profit ]]/Financials[[#This Row],[ Units_Sold ]]</f>
        <v/>
      </c>
      <c r="W367">
        <f>IF(Financials[[#This Row],[ Profit ]]&lt;0,1,0)</f>
        <v/>
      </c>
    </row>
    <row r="368">
      <c r="A368" t="inlineStr">
        <is>
          <t>Government</t>
        </is>
      </c>
      <c r="B368" t="inlineStr">
        <is>
          <t>Germany</t>
        </is>
      </c>
      <c r="C368" t="inlineStr">
        <is>
          <t xml:space="preserve"> Paseo </t>
        </is>
      </c>
      <c r="D368" t="inlineStr">
        <is>
          <t xml:space="preserve"> Medium </t>
        </is>
      </c>
      <c r="E368" t="n">
        <v>1259</v>
      </c>
      <c r="F368" s="69" t="n">
        <v>10</v>
      </c>
      <c r="G368" s="69" t="n">
        <v>7</v>
      </c>
      <c r="H368" s="69" t="n">
        <v>8813</v>
      </c>
      <c r="I368" s="5" t="n">
        <v>705.04</v>
      </c>
      <c r="J368" s="69" t="n">
        <v>8107.96</v>
      </c>
      <c r="K368" s="69" t="n">
        <v>6295</v>
      </c>
      <c r="L368" s="69" t="n">
        <v>1812.96</v>
      </c>
      <c r="M368" s="1" t="n">
        <v>41643</v>
      </c>
      <c r="N368" t="n">
        <v>4</v>
      </c>
      <c r="O368" t="inlineStr">
        <is>
          <t xml:space="preserve"> April </t>
        </is>
      </c>
      <c r="P368" t="n">
        <v>2014</v>
      </c>
      <c r="Q368">
        <f>IF(Financials[[#This Row],[ Units_Sold ]]&lt;&gt;INT(Financials[[#This Row],[ Units_Sold ]]),1,0)</f>
        <v/>
      </c>
      <c r="R368" s="10">
        <f>Financials[[#This Row],[ Profit ]]/Financials[[#This Row],[  Sales ]]</f>
        <v/>
      </c>
      <c r="S368" s="2">
        <f>Financials[[#This Row],[ COGS ]]/Financials[[#This Row],[  Sales ]]</f>
        <v/>
      </c>
      <c r="T368" s="3">
        <f>Financials[[#This Row],[ Discounts ]]/Financials[[#This Row],[  Sales ]]</f>
        <v/>
      </c>
      <c r="U368">
        <f>Financials[[#This Row],[  Sales ]]/Financials[[#This Row],[ Units_Sold ]]</f>
        <v/>
      </c>
      <c r="V368">
        <f>Financials[[#This Row],[ Profit ]]/Financials[[#This Row],[ Units_Sold ]]</f>
        <v/>
      </c>
      <c r="W368">
        <f>IF(Financials[[#This Row],[ Profit ]]&lt;0,1,0)</f>
        <v/>
      </c>
    </row>
    <row r="369">
      <c r="A369" t="inlineStr">
        <is>
          <t>Government</t>
        </is>
      </c>
      <c r="B369" t="inlineStr">
        <is>
          <t>Germany</t>
        </is>
      </c>
      <c r="C369" t="inlineStr">
        <is>
          <t xml:space="preserve"> Paseo </t>
        </is>
      </c>
      <c r="D369" t="inlineStr">
        <is>
          <t xml:space="preserve"> Medium </t>
        </is>
      </c>
      <c r="E369" t="n">
        <v>1095</v>
      </c>
      <c r="F369" s="69" t="n">
        <v>10</v>
      </c>
      <c r="G369" s="69" t="n">
        <v>7</v>
      </c>
      <c r="H369" s="69" t="n">
        <v>7665</v>
      </c>
      <c r="I369" s="5" t="n">
        <v>613.2</v>
      </c>
      <c r="J369" s="69" t="n">
        <v>7051.8</v>
      </c>
      <c r="K369" s="69" t="n">
        <v>5475</v>
      </c>
      <c r="L369" s="69" t="n">
        <v>1576.8</v>
      </c>
      <c r="M369" s="1" t="n">
        <v>41644</v>
      </c>
      <c r="N369" t="n">
        <v>5</v>
      </c>
      <c r="O369" t="inlineStr">
        <is>
          <t xml:space="preserve"> May </t>
        </is>
      </c>
      <c r="P369" t="n">
        <v>2014</v>
      </c>
      <c r="Q369">
        <f>IF(Financials[[#This Row],[ Units_Sold ]]&lt;&gt;INT(Financials[[#This Row],[ Units_Sold ]]),1,0)</f>
        <v/>
      </c>
      <c r="R369" s="10">
        <f>Financials[[#This Row],[ Profit ]]/Financials[[#This Row],[  Sales ]]</f>
        <v/>
      </c>
      <c r="S369" s="2">
        <f>Financials[[#This Row],[ COGS ]]/Financials[[#This Row],[  Sales ]]</f>
        <v/>
      </c>
      <c r="T369" s="3">
        <f>Financials[[#This Row],[ Discounts ]]/Financials[[#This Row],[  Sales ]]</f>
        <v/>
      </c>
      <c r="U369">
        <f>Financials[[#This Row],[  Sales ]]/Financials[[#This Row],[ Units_Sold ]]</f>
        <v/>
      </c>
      <c r="V369">
        <f>Financials[[#This Row],[ Profit ]]/Financials[[#This Row],[ Units_Sold ]]</f>
        <v/>
      </c>
      <c r="W369">
        <f>IF(Financials[[#This Row],[ Profit ]]&lt;0,1,0)</f>
        <v/>
      </c>
    </row>
    <row r="370">
      <c r="A370" t="inlineStr">
        <is>
          <t>Government</t>
        </is>
      </c>
      <c r="B370" t="inlineStr">
        <is>
          <t>Germany</t>
        </is>
      </c>
      <c r="C370" t="inlineStr">
        <is>
          <t xml:space="preserve"> Paseo </t>
        </is>
      </c>
      <c r="D370" t="inlineStr">
        <is>
          <t xml:space="preserve"> Medium </t>
        </is>
      </c>
      <c r="E370" t="n">
        <v>1366</v>
      </c>
      <c r="F370" s="69" t="n">
        <v>10</v>
      </c>
      <c r="G370" s="69" t="n">
        <v>20</v>
      </c>
      <c r="H370" s="69" t="n">
        <v>27320</v>
      </c>
      <c r="I370" s="5" t="n">
        <v>2185.6</v>
      </c>
      <c r="J370" s="69" t="n">
        <v>25134.4</v>
      </c>
      <c r="K370" s="69" t="n">
        <v>13660</v>
      </c>
      <c r="L370" s="69" t="n">
        <v>11474.4</v>
      </c>
      <c r="M370" s="1" t="n">
        <v>41645</v>
      </c>
      <c r="N370" t="n">
        <v>6</v>
      </c>
      <c r="O370" t="inlineStr">
        <is>
          <t xml:space="preserve"> June </t>
        </is>
      </c>
      <c r="P370" t="n">
        <v>2014</v>
      </c>
      <c r="Q370">
        <f>IF(Financials[[#This Row],[ Units_Sold ]]&lt;&gt;INT(Financials[[#This Row],[ Units_Sold ]]),1,0)</f>
        <v/>
      </c>
      <c r="R370" s="10">
        <f>Financials[[#This Row],[ Profit ]]/Financials[[#This Row],[  Sales ]]</f>
        <v/>
      </c>
      <c r="S370" s="2">
        <f>Financials[[#This Row],[ COGS ]]/Financials[[#This Row],[  Sales ]]</f>
        <v/>
      </c>
      <c r="T370" s="3">
        <f>Financials[[#This Row],[ Discounts ]]/Financials[[#This Row],[  Sales ]]</f>
        <v/>
      </c>
      <c r="U370">
        <f>Financials[[#This Row],[  Sales ]]/Financials[[#This Row],[ Units_Sold ]]</f>
        <v/>
      </c>
      <c r="V370">
        <f>Financials[[#This Row],[ Profit ]]/Financials[[#This Row],[ Units_Sold ]]</f>
        <v/>
      </c>
      <c r="W370">
        <f>IF(Financials[[#This Row],[ Profit ]]&lt;0,1,0)</f>
        <v/>
      </c>
    </row>
    <row r="371">
      <c r="A371" t="inlineStr">
        <is>
          <t>Small Business</t>
        </is>
      </c>
      <c r="B371" t="inlineStr">
        <is>
          <t>Mexico</t>
        </is>
      </c>
      <c r="C371" t="inlineStr">
        <is>
          <t xml:space="preserve"> Paseo </t>
        </is>
      </c>
      <c r="D371" t="inlineStr">
        <is>
          <t xml:space="preserve"> Medium </t>
        </is>
      </c>
      <c r="E371" t="n">
        <v>2460</v>
      </c>
      <c r="F371" s="69" t="n">
        <v>10</v>
      </c>
      <c r="G371" s="69" t="n">
        <v>300</v>
      </c>
      <c r="H371" s="69" t="n">
        <v>738000</v>
      </c>
      <c r="I371" s="5" t="n">
        <v>59040</v>
      </c>
      <c r="J371" s="69" t="n">
        <v>678960</v>
      </c>
      <c r="K371" s="69" t="n">
        <v>615000</v>
      </c>
      <c r="L371" s="69" t="n">
        <v>63960</v>
      </c>
      <c r="M371" s="1" t="n">
        <v>41645</v>
      </c>
      <c r="N371" t="n">
        <v>6</v>
      </c>
      <c r="O371" t="inlineStr">
        <is>
          <t xml:space="preserve"> June </t>
        </is>
      </c>
      <c r="P371" t="n">
        <v>2014</v>
      </c>
      <c r="Q371">
        <f>IF(Financials[[#This Row],[ Units_Sold ]]&lt;&gt;INT(Financials[[#This Row],[ Units_Sold ]]),1,0)</f>
        <v/>
      </c>
      <c r="R371" s="10">
        <f>Financials[[#This Row],[ Profit ]]/Financials[[#This Row],[  Sales ]]</f>
        <v/>
      </c>
      <c r="S371" s="2">
        <f>Financials[[#This Row],[ COGS ]]/Financials[[#This Row],[  Sales ]]</f>
        <v/>
      </c>
      <c r="T371" s="3">
        <f>Financials[[#This Row],[ Discounts ]]/Financials[[#This Row],[  Sales ]]</f>
        <v/>
      </c>
      <c r="U371">
        <f>Financials[[#This Row],[  Sales ]]/Financials[[#This Row],[ Units_Sold ]]</f>
        <v/>
      </c>
      <c r="V371">
        <f>Financials[[#This Row],[ Profit ]]/Financials[[#This Row],[ Units_Sold ]]</f>
        <v/>
      </c>
      <c r="W371">
        <f>IF(Financials[[#This Row],[ Profit ]]&lt;0,1,0)</f>
        <v/>
      </c>
    </row>
    <row r="372">
      <c r="A372" t="inlineStr">
        <is>
          <t>Government</t>
        </is>
      </c>
      <c r="B372" t="inlineStr">
        <is>
          <t>United States of America</t>
        </is>
      </c>
      <c r="C372" t="inlineStr">
        <is>
          <t xml:space="preserve"> Paseo </t>
        </is>
      </c>
      <c r="D372" t="inlineStr">
        <is>
          <t xml:space="preserve"> Medium </t>
        </is>
      </c>
      <c r="E372" t="n">
        <v>678</v>
      </c>
      <c r="F372" s="69" t="n">
        <v>10</v>
      </c>
      <c r="G372" s="69" t="n">
        <v>7</v>
      </c>
      <c r="H372" s="69" t="n">
        <v>4746</v>
      </c>
      <c r="I372" s="5" t="n">
        <v>379.68</v>
      </c>
      <c r="J372" s="69" t="n">
        <v>4366.32</v>
      </c>
      <c r="K372" s="69" t="n">
        <v>3390</v>
      </c>
      <c r="L372" s="69" t="n">
        <v>976.3200000000001</v>
      </c>
      <c r="M372" s="1" t="n">
        <v>41647</v>
      </c>
      <c r="N372" t="n">
        <v>8</v>
      </c>
      <c r="O372" t="inlineStr">
        <is>
          <t xml:space="preserve"> August </t>
        </is>
      </c>
      <c r="P372" t="n">
        <v>2014</v>
      </c>
      <c r="Q372">
        <f>IF(Financials[[#This Row],[ Units_Sold ]]&lt;&gt;INT(Financials[[#This Row],[ Units_Sold ]]),1,0)</f>
        <v/>
      </c>
      <c r="R372" s="10">
        <f>Financials[[#This Row],[ Profit ]]/Financials[[#This Row],[  Sales ]]</f>
        <v/>
      </c>
      <c r="S372" s="2">
        <f>Financials[[#This Row],[ COGS ]]/Financials[[#This Row],[  Sales ]]</f>
        <v/>
      </c>
      <c r="T372" s="3">
        <f>Financials[[#This Row],[ Discounts ]]/Financials[[#This Row],[  Sales ]]</f>
        <v/>
      </c>
      <c r="U372">
        <f>Financials[[#This Row],[  Sales ]]/Financials[[#This Row],[ Units_Sold ]]</f>
        <v/>
      </c>
      <c r="V372">
        <f>Financials[[#This Row],[ Profit ]]/Financials[[#This Row],[ Units_Sold ]]</f>
        <v/>
      </c>
      <c r="W372">
        <f>IF(Financials[[#This Row],[ Profit ]]&lt;0,1,0)</f>
        <v/>
      </c>
    </row>
    <row r="373">
      <c r="A373" t="inlineStr">
        <is>
          <t>Government</t>
        </is>
      </c>
      <c r="B373" t="inlineStr">
        <is>
          <t>Germany</t>
        </is>
      </c>
      <c r="C373" t="inlineStr">
        <is>
          <t xml:space="preserve"> Paseo </t>
        </is>
      </c>
      <c r="D373" t="inlineStr">
        <is>
          <t xml:space="preserve"> Medium </t>
        </is>
      </c>
      <c r="E373" t="n">
        <v>1598</v>
      </c>
      <c r="F373" s="69" t="n">
        <v>10</v>
      </c>
      <c r="G373" s="69" t="n">
        <v>7</v>
      </c>
      <c r="H373" s="69" t="n">
        <v>11186</v>
      </c>
      <c r="I373" s="5" t="n">
        <v>894.88</v>
      </c>
      <c r="J373" s="69" t="n">
        <v>10291.12</v>
      </c>
      <c r="K373" s="69" t="n">
        <v>7990</v>
      </c>
      <c r="L373" s="69" t="n">
        <v>2301.12</v>
      </c>
      <c r="M373" s="1" t="n">
        <v>41647</v>
      </c>
      <c r="N373" t="n">
        <v>8</v>
      </c>
      <c r="O373" t="inlineStr">
        <is>
          <t xml:space="preserve"> August </t>
        </is>
      </c>
      <c r="P373" t="n">
        <v>2014</v>
      </c>
      <c r="Q373">
        <f>IF(Financials[[#This Row],[ Units_Sold ]]&lt;&gt;INT(Financials[[#This Row],[ Units_Sold ]]),1,0)</f>
        <v/>
      </c>
      <c r="R373" s="10">
        <f>Financials[[#This Row],[ Profit ]]/Financials[[#This Row],[  Sales ]]</f>
        <v/>
      </c>
      <c r="S373" s="2">
        <f>Financials[[#This Row],[ COGS ]]/Financials[[#This Row],[  Sales ]]</f>
        <v/>
      </c>
      <c r="T373" s="3">
        <f>Financials[[#This Row],[ Discounts ]]/Financials[[#This Row],[  Sales ]]</f>
        <v/>
      </c>
      <c r="U373">
        <f>Financials[[#This Row],[  Sales ]]/Financials[[#This Row],[ Units_Sold ]]</f>
        <v/>
      </c>
      <c r="V373">
        <f>Financials[[#This Row],[ Profit ]]/Financials[[#This Row],[ Units_Sold ]]</f>
        <v/>
      </c>
      <c r="W373">
        <f>IF(Financials[[#This Row],[ Profit ]]&lt;0,1,0)</f>
        <v/>
      </c>
    </row>
    <row r="374">
      <c r="A374" t="inlineStr">
        <is>
          <t>Government</t>
        </is>
      </c>
      <c r="B374" t="inlineStr">
        <is>
          <t>Germany</t>
        </is>
      </c>
      <c r="C374" t="inlineStr">
        <is>
          <t xml:space="preserve"> Paseo </t>
        </is>
      </c>
      <c r="D374" t="inlineStr">
        <is>
          <t xml:space="preserve"> Medium </t>
        </is>
      </c>
      <c r="E374" t="n">
        <v>2409</v>
      </c>
      <c r="F374" s="69" t="n">
        <v>10</v>
      </c>
      <c r="G374" s="69" t="n">
        <v>7</v>
      </c>
      <c r="H374" s="69" t="n">
        <v>16863</v>
      </c>
      <c r="I374" s="5" t="n">
        <v>1349.04</v>
      </c>
      <c r="J374" s="69" t="n">
        <v>15513.96</v>
      </c>
      <c r="K374" s="69" t="n">
        <v>12045</v>
      </c>
      <c r="L374" s="69" t="n">
        <v>3468.96</v>
      </c>
      <c r="M374" s="1" t="n">
        <v>41283</v>
      </c>
      <c r="N374" t="n">
        <v>9</v>
      </c>
      <c r="O374" t="inlineStr">
        <is>
          <t xml:space="preserve"> September </t>
        </is>
      </c>
      <c r="P374" t="n">
        <v>2013</v>
      </c>
      <c r="Q374">
        <f>IF(Financials[[#This Row],[ Units_Sold ]]&lt;&gt;INT(Financials[[#This Row],[ Units_Sold ]]),1,0)</f>
        <v/>
      </c>
      <c r="R374" s="10">
        <f>Financials[[#This Row],[ Profit ]]/Financials[[#This Row],[  Sales ]]</f>
        <v/>
      </c>
      <c r="S374" s="2">
        <f>Financials[[#This Row],[ COGS ]]/Financials[[#This Row],[  Sales ]]</f>
        <v/>
      </c>
      <c r="T374" s="3">
        <f>Financials[[#This Row],[ Discounts ]]/Financials[[#This Row],[  Sales ]]</f>
        <v/>
      </c>
      <c r="U374">
        <f>Financials[[#This Row],[  Sales ]]/Financials[[#This Row],[ Units_Sold ]]</f>
        <v/>
      </c>
      <c r="V374">
        <f>Financials[[#This Row],[ Profit ]]/Financials[[#This Row],[ Units_Sold ]]</f>
        <v/>
      </c>
      <c r="W374">
        <f>IF(Financials[[#This Row],[ Profit ]]&lt;0,1,0)</f>
        <v/>
      </c>
    </row>
    <row r="375">
      <c r="A375" t="inlineStr">
        <is>
          <t>Government</t>
        </is>
      </c>
      <c r="B375" t="inlineStr">
        <is>
          <t>Germany</t>
        </is>
      </c>
      <c r="C375" t="inlineStr">
        <is>
          <t xml:space="preserve"> Paseo </t>
        </is>
      </c>
      <c r="D375" t="inlineStr">
        <is>
          <t xml:space="preserve"> Medium </t>
        </is>
      </c>
      <c r="E375" t="n">
        <v>1934</v>
      </c>
      <c r="F375" s="69" t="n">
        <v>10</v>
      </c>
      <c r="G375" s="69" t="n">
        <v>20</v>
      </c>
      <c r="H375" s="69" t="n">
        <v>38680</v>
      </c>
      <c r="I375" s="5" t="n">
        <v>3094.4</v>
      </c>
      <c r="J375" s="69" t="n">
        <v>35585.6</v>
      </c>
      <c r="K375" s="69" t="n">
        <v>19340</v>
      </c>
      <c r="L375" s="69" t="n">
        <v>16245.6</v>
      </c>
      <c r="M375" s="1" t="n">
        <v>41648</v>
      </c>
      <c r="N375" t="n">
        <v>9</v>
      </c>
      <c r="O375" t="inlineStr">
        <is>
          <t xml:space="preserve"> September </t>
        </is>
      </c>
      <c r="P375" t="n">
        <v>2014</v>
      </c>
      <c r="Q375">
        <f>IF(Financials[[#This Row],[ Units_Sold ]]&lt;&gt;INT(Financials[[#This Row],[ Units_Sold ]]),1,0)</f>
        <v/>
      </c>
      <c r="R375" s="10">
        <f>Financials[[#This Row],[ Profit ]]/Financials[[#This Row],[  Sales ]]</f>
        <v/>
      </c>
      <c r="S375" s="2">
        <f>Financials[[#This Row],[ COGS ]]/Financials[[#This Row],[  Sales ]]</f>
        <v/>
      </c>
      <c r="T375" s="3">
        <f>Financials[[#This Row],[ Discounts ]]/Financials[[#This Row],[  Sales ]]</f>
        <v/>
      </c>
      <c r="U375">
        <f>Financials[[#This Row],[  Sales ]]/Financials[[#This Row],[ Units_Sold ]]</f>
        <v/>
      </c>
      <c r="V375">
        <f>Financials[[#This Row],[ Profit ]]/Financials[[#This Row],[ Units_Sold ]]</f>
        <v/>
      </c>
      <c r="W375">
        <f>IF(Financials[[#This Row],[ Profit ]]&lt;0,1,0)</f>
        <v/>
      </c>
    </row>
    <row r="376">
      <c r="A376" t="inlineStr">
        <is>
          <t>Government</t>
        </is>
      </c>
      <c r="B376" t="inlineStr">
        <is>
          <t>Mexico</t>
        </is>
      </c>
      <c r="C376" t="inlineStr">
        <is>
          <t xml:space="preserve"> Paseo </t>
        </is>
      </c>
      <c r="D376" t="inlineStr">
        <is>
          <t xml:space="preserve"> Medium </t>
        </is>
      </c>
      <c r="E376" t="n">
        <v>2993</v>
      </c>
      <c r="F376" s="69" t="n">
        <v>10</v>
      </c>
      <c r="G376" s="69" t="n">
        <v>20</v>
      </c>
      <c r="H376" s="69" t="n">
        <v>59860</v>
      </c>
      <c r="I376" s="5" t="n">
        <v>4788.8</v>
      </c>
      <c r="J376" s="69" t="n">
        <v>55071.2</v>
      </c>
      <c r="K376" s="69" t="n">
        <v>29930</v>
      </c>
      <c r="L376" s="69" t="n">
        <v>25141.2</v>
      </c>
      <c r="M376" s="1" t="n">
        <v>41648</v>
      </c>
      <c r="N376" t="n">
        <v>9</v>
      </c>
      <c r="O376" t="inlineStr">
        <is>
          <t xml:space="preserve"> September </t>
        </is>
      </c>
      <c r="P376" t="n">
        <v>2014</v>
      </c>
      <c r="Q376">
        <f>IF(Financials[[#This Row],[ Units_Sold ]]&lt;&gt;INT(Financials[[#This Row],[ Units_Sold ]]),1,0)</f>
        <v/>
      </c>
      <c r="R376" s="10">
        <f>Financials[[#This Row],[ Profit ]]/Financials[[#This Row],[  Sales ]]</f>
        <v/>
      </c>
      <c r="S376" s="2">
        <f>Financials[[#This Row],[ COGS ]]/Financials[[#This Row],[  Sales ]]</f>
        <v/>
      </c>
      <c r="T376" s="3">
        <f>Financials[[#This Row],[ Discounts ]]/Financials[[#This Row],[  Sales ]]</f>
        <v/>
      </c>
      <c r="U376">
        <f>Financials[[#This Row],[  Sales ]]/Financials[[#This Row],[ Units_Sold ]]</f>
        <v/>
      </c>
      <c r="V376">
        <f>Financials[[#This Row],[ Profit ]]/Financials[[#This Row],[ Units_Sold ]]</f>
        <v/>
      </c>
      <c r="W376">
        <f>IF(Financials[[#This Row],[ Profit ]]&lt;0,1,0)</f>
        <v/>
      </c>
    </row>
    <row r="377">
      <c r="A377" t="inlineStr">
        <is>
          <t>Government</t>
        </is>
      </c>
      <c r="B377" t="inlineStr">
        <is>
          <t>Germany</t>
        </is>
      </c>
      <c r="C377" t="inlineStr">
        <is>
          <t xml:space="preserve"> Paseo </t>
        </is>
      </c>
      <c r="D377" t="inlineStr">
        <is>
          <t xml:space="preserve"> Medium </t>
        </is>
      </c>
      <c r="E377" t="n">
        <v>2146</v>
      </c>
      <c r="F377" s="69" t="n">
        <v>10</v>
      </c>
      <c r="G377" s="69" t="n">
        <v>350</v>
      </c>
      <c r="H377" s="69" t="n">
        <v>751100</v>
      </c>
      <c r="I377" s="5" t="n">
        <v>60088</v>
      </c>
      <c r="J377" s="69" t="n">
        <v>691012</v>
      </c>
      <c r="K377" s="69" t="n">
        <v>557960</v>
      </c>
      <c r="L377" s="69" t="n">
        <v>133052</v>
      </c>
      <c r="M377" s="1" t="n">
        <v>41285</v>
      </c>
      <c r="N377" t="n">
        <v>11</v>
      </c>
      <c r="O377" t="inlineStr">
        <is>
          <t xml:space="preserve"> November </t>
        </is>
      </c>
      <c r="P377" t="n">
        <v>2013</v>
      </c>
      <c r="Q377">
        <f>IF(Financials[[#This Row],[ Units_Sold ]]&lt;&gt;INT(Financials[[#This Row],[ Units_Sold ]]),1,0)</f>
        <v/>
      </c>
      <c r="R377" s="10">
        <f>Financials[[#This Row],[ Profit ]]/Financials[[#This Row],[  Sales ]]</f>
        <v/>
      </c>
      <c r="S377" s="2">
        <f>Financials[[#This Row],[ COGS ]]/Financials[[#This Row],[  Sales ]]</f>
        <v/>
      </c>
      <c r="T377" s="3">
        <f>Financials[[#This Row],[ Discounts ]]/Financials[[#This Row],[  Sales ]]</f>
        <v/>
      </c>
      <c r="U377">
        <f>Financials[[#This Row],[  Sales ]]/Financials[[#This Row],[ Units_Sold ]]</f>
        <v/>
      </c>
      <c r="V377">
        <f>Financials[[#This Row],[ Profit ]]/Financials[[#This Row],[ Units_Sold ]]</f>
        <v/>
      </c>
      <c r="W377">
        <f>IF(Financials[[#This Row],[ Profit ]]&lt;0,1,0)</f>
        <v/>
      </c>
    </row>
    <row r="378">
      <c r="A378" t="inlineStr">
        <is>
          <t>Government</t>
        </is>
      </c>
      <c r="B378" t="inlineStr">
        <is>
          <t>Mexico</t>
        </is>
      </c>
      <c r="C378" t="inlineStr">
        <is>
          <t xml:space="preserve"> Paseo </t>
        </is>
      </c>
      <c r="D378" t="inlineStr">
        <is>
          <t xml:space="preserve"> Medium </t>
        </is>
      </c>
      <c r="E378" t="n">
        <v>1946</v>
      </c>
      <c r="F378" s="69" t="n">
        <v>10</v>
      </c>
      <c r="G378" s="69" t="n">
        <v>7</v>
      </c>
      <c r="H378" s="69" t="n">
        <v>13622</v>
      </c>
      <c r="I378" s="5" t="n">
        <v>1089.76</v>
      </c>
      <c r="J378" s="69" t="n">
        <v>12532.24</v>
      </c>
      <c r="K378" s="69" t="n">
        <v>9730</v>
      </c>
      <c r="L378" s="69" t="n">
        <v>2802.24</v>
      </c>
      <c r="M378" s="1" t="n">
        <v>41286</v>
      </c>
      <c r="N378" t="n">
        <v>12</v>
      </c>
      <c r="O378" t="inlineStr">
        <is>
          <t xml:space="preserve"> December </t>
        </is>
      </c>
      <c r="P378" t="n">
        <v>2013</v>
      </c>
      <c r="Q378">
        <f>IF(Financials[[#This Row],[ Units_Sold ]]&lt;&gt;INT(Financials[[#This Row],[ Units_Sold ]]),1,0)</f>
        <v/>
      </c>
      <c r="R378" s="10">
        <f>Financials[[#This Row],[ Profit ]]/Financials[[#This Row],[  Sales ]]</f>
        <v/>
      </c>
      <c r="S378" s="2">
        <f>Financials[[#This Row],[ COGS ]]/Financials[[#This Row],[  Sales ]]</f>
        <v/>
      </c>
      <c r="T378" s="3">
        <f>Financials[[#This Row],[ Discounts ]]/Financials[[#This Row],[  Sales ]]</f>
        <v/>
      </c>
      <c r="U378">
        <f>Financials[[#This Row],[  Sales ]]/Financials[[#This Row],[ Units_Sold ]]</f>
        <v/>
      </c>
      <c r="V378">
        <f>Financials[[#This Row],[ Profit ]]/Financials[[#This Row],[ Units_Sold ]]</f>
        <v/>
      </c>
      <c r="W378">
        <f>IF(Financials[[#This Row],[ Profit ]]&lt;0,1,0)</f>
        <v/>
      </c>
    </row>
    <row r="379">
      <c r="A379" t="inlineStr">
        <is>
          <t>Government</t>
        </is>
      </c>
      <c r="B379" t="inlineStr">
        <is>
          <t>Mexico</t>
        </is>
      </c>
      <c r="C379" t="inlineStr">
        <is>
          <t xml:space="preserve"> Paseo </t>
        </is>
      </c>
      <c r="D379" t="inlineStr">
        <is>
          <t xml:space="preserve"> Medium </t>
        </is>
      </c>
      <c r="E379" t="n">
        <v>1362</v>
      </c>
      <c r="F379" s="69" t="n">
        <v>10</v>
      </c>
      <c r="G379" s="69" t="n">
        <v>350</v>
      </c>
      <c r="H379" s="69" t="n">
        <v>476700</v>
      </c>
      <c r="I379" s="5" t="n">
        <v>38136</v>
      </c>
      <c r="J379" s="69" t="n">
        <v>438564</v>
      </c>
      <c r="K379" s="69" t="n">
        <v>354120</v>
      </c>
      <c r="L379" s="69" t="n">
        <v>84444</v>
      </c>
      <c r="M379" s="1" t="n">
        <v>41651</v>
      </c>
      <c r="N379" t="n">
        <v>12</v>
      </c>
      <c r="O379" t="inlineStr">
        <is>
          <t xml:space="preserve"> December </t>
        </is>
      </c>
      <c r="P379" t="n">
        <v>2014</v>
      </c>
      <c r="Q379">
        <f>IF(Financials[[#This Row],[ Units_Sold ]]&lt;&gt;INT(Financials[[#This Row],[ Units_Sold ]]),1,0)</f>
        <v/>
      </c>
      <c r="R379" s="10">
        <f>Financials[[#This Row],[ Profit ]]/Financials[[#This Row],[  Sales ]]</f>
        <v/>
      </c>
      <c r="S379" s="2">
        <f>Financials[[#This Row],[ COGS ]]/Financials[[#This Row],[  Sales ]]</f>
        <v/>
      </c>
      <c r="T379" s="3">
        <f>Financials[[#This Row],[ Discounts ]]/Financials[[#This Row],[  Sales ]]</f>
        <v/>
      </c>
      <c r="U379">
        <f>Financials[[#This Row],[  Sales ]]/Financials[[#This Row],[ Units_Sold ]]</f>
        <v/>
      </c>
      <c r="V379">
        <f>Financials[[#This Row],[ Profit ]]/Financials[[#This Row],[ Units_Sold ]]</f>
        <v/>
      </c>
      <c r="W379">
        <f>IF(Financials[[#This Row],[ Profit ]]&lt;0,1,0)</f>
        <v/>
      </c>
    </row>
    <row r="380">
      <c r="A380" t="inlineStr">
        <is>
          <t>Channel Partners</t>
        </is>
      </c>
      <c r="B380" t="inlineStr">
        <is>
          <t>Canada</t>
        </is>
      </c>
      <c r="C380" t="inlineStr">
        <is>
          <t xml:space="preserve"> Velo </t>
        </is>
      </c>
      <c r="D380" t="inlineStr">
        <is>
          <t xml:space="preserve"> Medium </t>
        </is>
      </c>
      <c r="E380" t="n">
        <v>598</v>
      </c>
      <c r="F380" s="69" t="n">
        <v>120</v>
      </c>
      <c r="G380" s="69" t="n">
        <v>12</v>
      </c>
      <c r="H380" s="69" t="n">
        <v>7176</v>
      </c>
      <c r="I380" s="5" t="n">
        <v>574.08</v>
      </c>
      <c r="J380" s="69" t="n">
        <v>6601.92</v>
      </c>
      <c r="K380" s="69" t="n">
        <v>1794</v>
      </c>
      <c r="L380" s="69" t="n">
        <v>4807.92</v>
      </c>
      <c r="M380" s="1" t="n">
        <v>41642</v>
      </c>
      <c r="N380" t="n">
        <v>3</v>
      </c>
      <c r="O380" t="inlineStr">
        <is>
          <t xml:space="preserve"> March </t>
        </is>
      </c>
      <c r="P380" t="n">
        <v>2014</v>
      </c>
      <c r="Q380">
        <f>IF(Financials[[#This Row],[ Units_Sold ]]&lt;&gt;INT(Financials[[#This Row],[ Units_Sold ]]),1,0)</f>
        <v/>
      </c>
      <c r="R380" s="10">
        <f>Financials[[#This Row],[ Profit ]]/Financials[[#This Row],[  Sales ]]</f>
        <v/>
      </c>
      <c r="S380" s="2">
        <f>Financials[[#This Row],[ COGS ]]/Financials[[#This Row],[  Sales ]]</f>
        <v/>
      </c>
      <c r="T380" s="3">
        <f>Financials[[#This Row],[ Discounts ]]/Financials[[#This Row],[  Sales ]]</f>
        <v/>
      </c>
      <c r="U380">
        <f>Financials[[#This Row],[  Sales ]]/Financials[[#This Row],[ Units_Sold ]]</f>
        <v/>
      </c>
      <c r="V380">
        <f>Financials[[#This Row],[ Profit ]]/Financials[[#This Row],[ Units_Sold ]]</f>
        <v/>
      </c>
      <c r="W380">
        <f>IF(Financials[[#This Row],[ Profit ]]&lt;0,1,0)</f>
        <v/>
      </c>
    </row>
    <row r="381">
      <c r="A381" t="inlineStr">
        <is>
          <t>Government</t>
        </is>
      </c>
      <c r="B381" t="inlineStr">
        <is>
          <t>United States of America</t>
        </is>
      </c>
      <c r="C381" t="inlineStr">
        <is>
          <t xml:space="preserve"> Velo </t>
        </is>
      </c>
      <c r="D381" t="inlineStr">
        <is>
          <t xml:space="preserve"> Medium </t>
        </is>
      </c>
      <c r="E381" t="n">
        <v>2907</v>
      </c>
      <c r="F381" s="69" t="n">
        <v>120</v>
      </c>
      <c r="G381" s="69" t="n">
        <v>7</v>
      </c>
      <c r="H381" s="69" t="n">
        <v>20349</v>
      </c>
      <c r="I381" s="5" t="n">
        <v>1627.92</v>
      </c>
      <c r="J381" s="69" t="n">
        <v>18721.08</v>
      </c>
      <c r="K381" s="69" t="n">
        <v>14535</v>
      </c>
      <c r="L381" s="69" t="n">
        <v>4186.08</v>
      </c>
      <c r="M381" s="1" t="n">
        <v>41645</v>
      </c>
      <c r="N381" t="n">
        <v>6</v>
      </c>
      <c r="O381" t="inlineStr">
        <is>
          <t xml:space="preserve"> June </t>
        </is>
      </c>
      <c r="P381" t="n">
        <v>2014</v>
      </c>
      <c r="Q381">
        <f>IF(Financials[[#This Row],[ Units_Sold ]]&lt;&gt;INT(Financials[[#This Row],[ Units_Sold ]]),1,0)</f>
        <v/>
      </c>
      <c r="R381" s="10">
        <f>Financials[[#This Row],[ Profit ]]/Financials[[#This Row],[  Sales ]]</f>
        <v/>
      </c>
      <c r="S381" s="2">
        <f>Financials[[#This Row],[ COGS ]]/Financials[[#This Row],[  Sales ]]</f>
        <v/>
      </c>
      <c r="T381" s="3">
        <f>Financials[[#This Row],[ Discounts ]]/Financials[[#This Row],[  Sales ]]</f>
        <v/>
      </c>
      <c r="U381">
        <f>Financials[[#This Row],[  Sales ]]/Financials[[#This Row],[ Units_Sold ]]</f>
        <v/>
      </c>
      <c r="V381">
        <f>Financials[[#This Row],[ Profit ]]/Financials[[#This Row],[ Units_Sold ]]</f>
        <v/>
      </c>
      <c r="W381">
        <f>IF(Financials[[#This Row],[ Profit ]]&lt;0,1,0)</f>
        <v/>
      </c>
    </row>
    <row r="382">
      <c r="A382" t="inlineStr">
        <is>
          <t>Government</t>
        </is>
      </c>
      <c r="B382" t="inlineStr">
        <is>
          <t>Germany</t>
        </is>
      </c>
      <c r="C382" t="inlineStr">
        <is>
          <t xml:space="preserve"> Velo </t>
        </is>
      </c>
      <c r="D382" t="inlineStr">
        <is>
          <t xml:space="preserve"> Medium </t>
        </is>
      </c>
      <c r="E382" t="n">
        <v>2338</v>
      </c>
      <c r="F382" s="69" t="n">
        <v>120</v>
      </c>
      <c r="G382" s="69" t="n">
        <v>7</v>
      </c>
      <c r="H382" s="69" t="n">
        <v>16366</v>
      </c>
      <c r="I382" s="5" t="n">
        <v>1309.28</v>
      </c>
      <c r="J382" s="69" t="n">
        <v>15056.72</v>
      </c>
      <c r="K382" s="69" t="n">
        <v>11690</v>
      </c>
      <c r="L382" s="69" t="n">
        <v>3366.72</v>
      </c>
      <c r="M382" s="1" t="n">
        <v>41645</v>
      </c>
      <c r="N382" t="n">
        <v>6</v>
      </c>
      <c r="O382" t="inlineStr">
        <is>
          <t xml:space="preserve"> June </t>
        </is>
      </c>
      <c r="P382" t="n">
        <v>2014</v>
      </c>
      <c r="Q382">
        <f>IF(Financials[[#This Row],[ Units_Sold ]]&lt;&gt;INT(Financials[[#This Row],[ Units_Sold ]]),1,0)</f>
        <v/>
      </c>
      <c r="R382" s="10">
        <f>Financials[[#This Row],[ Profit ]]/Financials[[#This Row],[  Sales ]]</f>
        <v/>
      </c>
      <c r="S382" s="2">
        <f>Financials[[#This Row],[ COGS ]]/Financials[[#This Row],[  Sales ]]</f>
        <v/>
      </c>
      <c r="T382" s="3">
        <f>Financials[[#This Row],[ Discounts ]]/Financials[[#This Row],[  Sales ]]</f>
        <v/>
      </c>
      <c r="U382">
        <f>Financials[[#This Row],[  Sales ]]/Financials[[#This Row],[ Units_Sold ]]</f>
        <v/>
      </c>
      <c r="V382">
        <f>Financials[[#This Row],[ Profit ]]/Financials[[#This Row],[ Units_Sold ]]</f>
        <v/>
      </c>
      <c r="W382">
        <f>IF(Financials[[#This Row],[ Profit ]]&lt;0,1,0)</f>
        <v/>
      </c>
    </row>
    <row r="383">
      <c r="A383" t="inlineStr">
        <is>
          <t>Small Business</t>
        </is>
      </c>
      <c r="B383" t="inlineStr">
        <is>
          <t>France</t>
        </is>
      </c>
      <c r="C383" t="inlineStr">
        <is>
          <t xml:space="preserve"> Velo </t>
        </is>
      </c>
      <c r="D383" t="inlineStr">
        <is>
          <t xml:space="preserve"> Medium </t>
        </is>
      </c>
      <c r="E383" t="n">
        <v>386</v>
      </c>
      <c r="F383" s="69" t="n">
        <v>120</v>
      </c>
      <c r="G383" s="69" t="n">
        <v>300</v>
      </c>
      <c r="H383" s="69" t="n">
        <v>115800</v>
      </c>
      <c r="I383" s="5" t="n">
        <v>9264</v>
      </c>
      <c r="J383" s="69" t="n">
        <v>106536</v>
      </c>
      <c r="K383" s="69" t="n">
        <v>96500</v>
      </c>
      <c r="L383" s="69" t="n">
        <v>10036</v>
      </c>
      <c r="M383" s="1" t="n">
        <v>41285</v>
      </c>
      <c r="N383" t="n">
        <v>11</v>
      </c>
      <c r="O383" t="inlineStr">
        <is>
          <t xml:space="preserve"> November </t>
        </is>
      </c>
      <c r="P383" t="n">
        <v>2013</v>
      </c>
      <c r="Q383">
        <f>IF(Financials[[#This Row],[ Units_Sold ]]&lt;&gt;INT(Financials[[#This Row],[ Units_Sold ]]),1,0)</f>
        <v/>
      </c>
      <c r="R383" s="10">
        <f>Financials[[#This Row],[ Profit ]]/Financials[[#This Row],[  Sales ]]</f>
        <v/>
      </c>
      <c r="S383" s="2">
        <f>Financials[[#This Row],[ COGS ]]/Financials[[#This Row],[  Sales ]]</f>
        <v/>
      </c>
      <c r="T383" s="3">
        <f>Financials[[#This Row],[ Discounts ]]/Financials[[#This Row],[  Sales ]]</f>
        <v/>
      </c>
      <c r="U383">
        <f>Financials[[#This Row],[  Sales ]]/Financials[[#This Row],[ Units_Sold ]]</f>
        <v/>
      </c>
      <c r="V383">
        <f>Financials[[#This Row],[ Profit ]]/Financials[[#This Row],[ Units_Sold ]]</f>
        <v/>
      </c>
      <c r="W383">
        <f>IF(Financials[[#This Row],[ Profit ]]&lt;0,1,0)</f>
        <v/>
      </c>
    </row>
    <row r="384">
      <c r="A384" t="inlineStr">
        <is>
          <t>Small Business</t>
        </is>
      </c>
      <c r="B384" t="inlineStr">
        <is>
          <t>Mexico</t>
        </is>
      </c>
      <c r="C384" t="inlineStr">
        <is>
          <t xml:space="preserve"> Velo </t>
        </is>
      </c>
      <c r="D384" t="inlineStr">
        <is>
          <t xml:space="preserve"> Medium </t>
        </is>
      </c>
      <c r="E384" t="n">
        <v>635</v>
      </c>
      <c r="F384" s="69" t="n">
        <v>120</v>
      </c>
      <c r="G384" s="69" t="n">
        <v>300</v>
      </c>
      <c r="H384" s="69" t="n">
        <v>190500</v>
      </c>
      <c r="I384" s="5" t="n">
        <v>15240</v>
      </c>
      <c r="J384" s="69" t="n">
        <v>175260</v>
      </c>
      <c r="K384" s="69" t="n">
        <v>158750</v>
      </c>
      <c r="L384" s="69" t="n">
        <v>16510</v>
      </c>
      <c r="M384" s="1" t="n">
        <v>41651</v>
      </c>
      <c r="N384" t="n">
        <v>12</v>
      </c>
      <c r="O384" t="inlineStr">
        <is>
          <t xml:space="preserve"> December </t>
        </is>
      </c>
      <c r="P384" t="n">
        <v>2014</v>
      </c>
      <c r="Q384">
        <f>IF(Financials[[#This Row],[ Units_Sold ]]&lt;&gt;INT(Financials[[#This Row],[ Units_Sold ]]),1,0)</f>
        <v/>
      </c>
      <c r="R384" s="10">
        <f>Financials[[#This Row],[ Profit ]]/Financials[[#This Row],[  Sales ]]</f>
        <v/>
      </c>
      <c r="S384" s="2">
        <f>Financials[[#This Row],[ COGS ]]/Financials[[#This Row],[  Sales ]]</f>
        <v/>
      </c>
      <c r="T384" s="3">
        <f>Financials[[#This Row],[ Discounts ]]/Financials[[#This Row],[  Sales ]]</f>
        <v/>
      </c>
      <c r="U384">
        <f>Financials[[#This Row],[  Sales ]]/Financials[[#This Row],[ Units_Sold ]]</f>
        <v/>
      </c>
      <c r="V384">
        <f>Financials[[#This Row],[ Profit ]]/Financials[[#This Row],[ Units_Sold ]]</f>
        <v/>
      </c>
      <c r="W384">
        <f>IF(Financials[[#This Row],[ Profit ]]&lt;0,1,0)</f>
        <v/>
      </c>
    </row>
    <row r="385">
      <c r="A385" t="inlineStr">
        <is>
          <t>Government</t>
        </is>
      </c>
      <c r="B385" t="inlineStr">
        <is>
          <t>France</t>
        </is>
      </c>
      <c r="C385" t="inlineStr">
        <is>
          <t xml:space="preserve"> VTT </t>
        </is>
      </c>
      <c r="D385" t="inlineStr">
        <is>
          <t xml:space="preserve"> Medium </t>
        </is>
      </c>
      <c r="E385" t="n">
        <v>574.5</v>
      </c>
      <c r="F385" s="69" t="n">
        <v>250</v>
      </c>
      <c r="G385" s="69" t="n">
        <v>350</v>
      </c>
      <c r="H385" s="69" t="n">
        <v>201075</v>
      </c>
      <c r="I385" s="5" t="n">
        <v>16086</v>
      </c>
      <c r="J385" s="69" t="n">
        <v>184989</v>
      </c>
      <c r="K385" s="69" t="n">
        <v>149370</v>
      </c>
      <c r="L385" s="69" t="n">
        <v>35619</v>
      </c>
      <c r="M385" s="1" t="n">
        <v>41643</v>
      </c>
      <c r="N385" t="n">
        <v>4</v>
      </c>
      <c r="O385" t="inlineStr">
        <is>
          <t xml:space="preserve"> April </t>
        </is>
      </c>
      <c r="P385" t="n">
        <v>2014</v>
      </c>
      <c r="Q385">
        <f>IF(Financials[[#This Row],[ Units_Sold ]]&lt;&gt;INT(Financials[[#This Row],[ Units_Sold ]]),1,0)</f>
        <v/>
      </c>
      <c r="R385" s="10">
        <f>Financials[[#This Row],[ Profit ]]/Financials[[#This Row],[  Sales ]]</f>
        <v/>
      </c>
      <c r="S385" s="2">
        <f>Financials[[#This Row],[ COGS ]]/Financials[[#This Row],[  Sales ]]</f>
        <v/>
      </c>
      <c r="T385" s="3">
        <f>Financials[[#This Row],[ Discounts ]]/Financials[[#This Row],[  Sales ]]</f>
        <v/>
      </c>
      <c r="U385">
        <f>Financials[[#This Row],[  Sales ]]/Financials[[#This Row],[ Units_Sold ]]</f>
        <v/>
      </c>
      <c r="V385">
        <f>Financials[[#This Row],[ Profit ]]/Financials[[#This Row],[ Units_Sold ]]</f>
        <v/>
      </c>
      <c r="W385">
        <f>IF(Financials[[#This Row],[ Profit ]]&lt;0,1,0)</f>
        <v/>
      </c>
    </row>
    <row r="386">
      <c r="A386" t="inlineStr">
        <is>
          <t>Government</t>
        </is>
      </c>
      <c r="B386" t="inlineStr">
        <is>
          <t>Germany</t>
        </is>
      </c>
      <c r="C386" t="inlineStr">
        <is>
          <t xml:space="preserve"> VTT </t>
        </is>
      </c>
      <c r="D386" t="inlineStr">
        <is>
          <t xml:space="preserve"> Medium </t>
        </is>
      </c>
      <c r="E386" t="n">
        <v>2338</v>
      </c>
      <c r="F386" s="69" t="n">
        <v>250</v>
      </c>
      <c r="G386" s="69" t="n">
        <v>7</v>
      </c>
      <c r="H386" s="69" t="n">
        <v>16366</v>
      </c>
      <c r="I386" s="5" t="n">
        <v>1309.28</v>
      </c>
      <c r="J386" s="69" t="n">
        <v>15056.72</v>
      </c>
      <c r="K386" s="69" t="n">
        <v>11690</v>
      </c>
      <c r="L386" s="69" t="n">
        <v>3366.72</v>
      </c>
      <c r="M386" s="1" t="n">
        <v>41645</v>
      </c>
      <c r="N386" t="n">
        <v>6</v>
      </c>
      <c r="O386" t="inlineStr">
        <is>
          <t xml:space="preserve"> June </t>
        </is>
      </c>
      <c r="P386" t="n">
        <v>2014</v>
      </c>
      <c r="Q386">
        <f>IF(Financials[[#This Row],[ Units_Sold ]]&lt;&gt;INT(Financials[[#This Row],[ Units_Sold ]]),1,0)</f>
        <v/>
      </c>
      <c r="R386" s="10">
        <f>Financials[[#This Row],[ Profit ]]/Financials[[#This Row],[  Sales ]]</f>
        <v/>
      </c>
      <c r="S386" s="2">
        <f>Financials[[#This Row],[ COGS ]]/Financials[[#This Row],[  Sales ]]</f>
        <v/>
      </c>
      <c r="T386" s="3">
        <f>Financials[[#This Row],[ Discounts ]]/Financials[[#This Row],[  Sales ]]</f>
        <v/>
      </c>
      <c r="U386">
        <f>Financials[[#This Row],[  Sales ]]/Financials[[#This Row],[ Units_Sold ]]</f>
        <v/>
      </c>
      <c r="V386">
        <f>Financials[[#This Row],[ Profit ]]/Financials[[#This Row],[ Units_Sold ]]</f>
        <v/>
      </c>
      <c r="W386">
        <f>IF(Financials[[#This Row],[ Profit ]]&lt;0,1,0)</f>
        <v/>
      </c>
    </row>
    <row r="387">
      <c r="A387" t="inlineStr">
        <is>
          <t>Government</t>
        </is>
      </c>
      <c r="B387" t="inlineStr">
        <is>
          <t>France</t>
        </is>
      </c>
      <c r="C387" t="inlineStr">
        <is>
          <t xml:space="preserve"> VTT </t>
        </is>
      </c>
      <c r="D387" t="inlineStr">
        <is>
          <t xml:space="preserve"> Medium </t>
        </is>
      </c>
      <c r="E387" t="n">
        <v>381</v>
      </c>
      <c r="F387" s="69" t="n">
        <v>250</v>
      </c>
      <c r="G387" s="69" t="n">
        <v>350</v>
      </c>
      <c r="H387" s="69" t="n">
        <v>133350</v>
      </c>
      <c r="I387" s="5" t="n">
        <v>10668</v>
      </c>
      <c r="J387" s="69" t="n">
        <v>122682</v>
      </c>
      <c r="K387" s="69" t="n">
        <v>99060</v>
      </c>
      <c r="L387" s="69" t="n">
        <v>23622</v>
      </c>
      <c r="M387" s="1" t="n">
        <v>41647</v>
      </c>
      <c r="N387" t="n">
        <v>8</v>
      </c>
      <c r="O387" t="inlineStr">
        <is>
          <t xml:space="preserve"> August </t>
        </is>
      </c>
      <c r="P387" t="n">
        <v>2014</v>
      </c>
      <c r="Q387">
        <f>IF(Financials[[#This Row],[ Units_Sold ]]&lt;&gt;INT(Financials[[#This Row],[ Units_Sold ]]),1,0)</f>
        <v/>
      </c>
      <c r="R387" s="10">
        <f>Financials[[#This Row],[ Profit ]]/Financials[[#This Row],[  Sales ]]</f>
        <v/>
      </c>
      <c r="S387" s="2">
        <f>Financials[[#This Row],[ COGS ]]/Financials[[#This Row],[  Sales ]]</f>
        <v/>
      </c>
      <c r="T387" s="3">
        <f>Financials[[#This Row],[ Discounts ]]/Financials[[#This Row],[  Sales ]]</f>
        <v/>
      </c>
      <c r="U387">
        <f>Financials[[#This Row],[  Sales ]]/Financials[[#This Row],[ Units_Sold ]]</f>
        <v/>
      </c>
      <c r="V387">
        <f>Financials[[#This Row],[ Profit ]]/Financials[[#This Row],[ Units_Sold ]]</f>
        <v/>
      </c>
      <c r="W387">
        <f>IF(Financials[[#This Row],[ Profit ]]&lt;0,1,0)</f>
        <v/>
      </c>
    </row>
    <row r="388">
      <c r="A388" t="inlineStr">
        <is>
          <t>Government</t>
        </is>
      </c>
      <c r="B388" t="inlineStr">
        <is>
          <t>Germany</t>
        </is>
      </c>
      <c r="C388" t="inlineStr">
        <is>
          <t xml:space="preserve"> VTT </t>
        </is>
      </c>
      <c r="D388" t="inlineStr">
        <is>
          <t xml:space="preserve"> Medium </t>
        </is>
      </c>
      <c r="E388" t="n">
        <v>422</v>
      </c>
      <c r="F388" s="69" t="n">
        <v>250</v>
      </c>
      <c r="G388" s="69" t="n">
        <v>350</v>
      </c>
      <c r="H388" s="69" t="n">
        <v>147700</v>
      </c>
      <c r="I388" s="5" t="n">
        <v>11816</v>
      </c>
      <c r="J388" s="69" t="n">
        <v>135884</v>
      </c>
      <c r="K388" s="69" t="n">
        <v>109720</v>
      </c>
      <c r="L388" s="69" t="n">
        <v>26164</v>
      </c>
      <c r="M388" s="1" t="n">
        <v>41647</v>
      </c>
      <c r="N388" t="n">
        <v>8</v>
      </c>
      <c r="O388" t="inlineStr">
        <is>
          <t xml:space="preserve"> August </t>
        </is>
      </c>
      <c r="P388" t="n">
        <v>2014</v>
      </c>
      <c r="Q388">
        <f>IF(Financials[[#This Row],[ Units_Sold ]]&lt;&gt;INT(Financials[[#This Row],[ Units_Sold ]]),1,0)</f>
        <v/>
      </c>
      <c r="R388" s="10">
        <f>Financials[[#This Row],[ Profit ]]/Financials[[#This Row],[  Sales ]]</f>
        <v/>
      </c>
      <c r="S388" s="2">
        <f>Financials[[#This Row],[ COGS ]]/Financials[[#This Row],[  Sales ]]</f>
        <v/>
      </c>
      <c r="T388" s="3">
        <f>Financials[[#This Row],[ Discounts ]]/Financials[[#This Row],[  Sales ]]</f>
        <v/>
      </c>
      <c r="U388">
        <f>Financials[[#This Row],[  Sales ]]/Financials[[#This Row],[ Units_Sold ]]</f>
        <v/>
      </c>
      <c r="V388">
        <f>Financials[[#This Row],[ Profit ]]/Financials[[#This Row],[ Units_Sold ]]</f>
        <v/>
      </c>
      <c r="W388">
        <f>IF(Financials[[#This Row],[ Profit ]]&lt;0,1,0)</f>
        <v/>
      </c>
    </row>
    <row r="389">
      <c r="A389" t="inlineStr">
        <is>
          <t>Small Business</t>
        </is>
      </c>
      <c r="B389" t="inlineStr">
        <is>
          <t>Canada</t>
        </is>
      </c>
      <c r="C389" t="inlineStr">
        <is>
          <t xml:space="preserve"> VTT </t>
        </is>
      </c>
      <c r="D389" t="inlineStr">
        <is>
          <t xml:space="preserve"> Medium </t>
        </is>
      </c>
      <c r="E389" t="n">
        <v>2134</v>
      </c>
      <c r="F389" s="69" t="n">
        <v>250</v>
      </c>
      <c r="G389" s="69" t="n">
        <v>300</v>
      </c>
      <c r="H389" s="69" t="n">
        <v>640200</v>
      </c>
      <c r="I389" s="5" t="n">
        <v>51216</v>
      </c>
      <c r="J389" s="69" t="n">
        <v>588984</v>
      </c>
      <c r="K389" s="69" t="n">
        <v>533500</v>
      </c>
      <c r="L389" s="69" t="n">
        <v>55484</v>
      </c>
      <c r="M389" s="1" t="n">
        <v>41648</v>
      </c>
      <c r="N389" t="n">
        <v>9</v>
      </c>
      <c r="O389" t="inlineStr">
        <is>
          <t xml:space="preserve"> September </t>
        </is>
      </c>
      <c r="P389" t="n">
        <v>2014</v>
      </c>
      <c r="Q389">
        <f>IF(Financials[[#This Row],[ Units_Sold ]]&lt;&gt;INT(Financials[[#This Row],[ Units_Sold ]]),1,0)</f>
        <v/>
      </c>
      <c r="R389" s="10">
        <f>Financials[[#This Row],[ Profit ]]/Financials[[#This Row],[  Sales ]]</f>
        <v/>
      </c>
      <c r="S389" s="2">
        <f>Financials[[#This Row],[ COGS ]]/Financials[[#This Row],[  Sales ]]</f>
        <v/>
      </c>
      <c r="T389" s="3">
        <f>Financials[[#This Row],[ Discounts ]]/Financials[[#This Row],[  Sales ]]</f>
        <v/>
      </c>
      <c r="U389">
        <f>Financials[[#This Row],[  Sales ]]/Financials[[#This Row],[ Units_Sold ]]</f>
        <v/>
      </c>
      <c r="V389">
        <f>Financials[[#This Row],[ Profit ]]/Financials[[#This Row],[ Units_Sold ]]</f>
        <v/>
      </c>
      <c r="W389">
        <f>IF(Financials[[#This Row],[ Profit ]]&lt;0,1,0)</f>
        <v/>
      </c>
    </row>
    <row r="390">
      <c r="A390" t="inlineStr">
        <is>
          <t>Small Business</t>
        </is>
      </c>
      <c r="B390" t="inlineStr">
        <is>
          <t>United States of America</t>
        </is>
      </c>
      <c r="C390" t="inlineStr">
        <is>
          <t xml:space="preserve"> VTT </t>
        </is>
      </c>
      <c r="D390" t="inlineStr">
        <is>
          <t xml:space="preserve"> Medium </t>
        </is>
      </c>
      <c r="E390" t="n">
        <v>808</v>
      </c>
      <c r="F390" s="69" t="n">
        <v>250</v>
      </c>
      <c r="G390" s="69" t="n">
        <v>300</v>
      </c>
      <c r="H390" s="69" t="n">
        <v>242400</v>
      </c>
      <c r="I390" s="5" t="n">
        <v>19392</v>
      </c>
      <c r="J390" s="69" t="n">
        <v>223008</v>
      </c>
      <c r="K390" s="69" t="n">
        <v>202000</v>
      </c>
      <c r="L390" s="69" t="n">
        <v>21008</v>
      </c>
      <c r="M390" s="1" t="n">
        <v>41286</v>
      </c>
      <c r="N390" t="n">
        <v>12</v>
      </c>
      <c r="O390" t="inlineStr">
        <is>
          <t xml:space="preserve"> December </t>
        </is>
      </c>
      <c r="P390" t="n">
        <v>2013</v>
      </c>
      <c r="Q390">
        <f>IF(Financials[[#This Row],[ Units_Sold ]]&lt;&gt;INT(Financials[[#This Row],[ Units_Sold ]]),1,0)</f>
        <v/>
      </c>
      <c r="R390" s="10">
        <f>Financials[[#This Row],[ Profit ]]/Financials[[#This Row],[  Sales ]]</f>
        <v/>
      </c>
      <c r="S390" s="2">
        <f>Financials[[#This Row],[ COGS ]]/Financials[[#This Row],[  Sales ]]</f>
        <v/>
      </c>
      <c r="T390" s="3">
        <f>Financials[[#This Row],[ Discounts ]]/Financials[[#This Row],[  Sales ]]</f>
        <v/>
      </c>
      <c r="U390">
        <f>Financials[[#This Row],[  Sales ]]/Financials[[#This Row],[ Units_Sold ]]</f>
        <v/>
      </c>
      <c r="V390">
        <f>Financials[[#This Row],[ Profit ]]/Financials[[#This Row],[ Units_Sold ]]</f>
        <v/>
      </c>
      <c r="W390">
        <f>IF(Financials[[#This Row],[ Profit ]]&lt;0,1,0)</f>
        <v/>
      </c>
    </row>
    <row r="391">
      <c r="A391" t="inlineStr">
        <is>
          <t>Government</t>
        </is>
      </c>
      <c r="B391" t="inlineStr">
        <is>
          <t>Canada</t>
        </is>
      </c>
      <c r="C391" t="inlineStr">
        <is>
          <t xml:space="preserve"> Amarilla </t>
        </is>
      </c>
      <c r="D391" t="inlineStr">
        <is>
          <t xml:space="preserve"> Medium </t>
        </is>
      </c>
      <c r="E391" t="n">
        <v>708</v>
      </c>
      <c r="F391" s="69" t="n">
        <v>260</v>
      </c>
      <c r="G391" s="69" t="n">
        <v>20</v>
      </c>
      <c r="H391" s="69" t="n">
        <v>14160</v>
      </c>
      <c r="I391" s="5" t="n">
        <v>1132.8</v>
      </c>
      <c r="J391" s="69" t="n">
        <v>13027.2</v>
      </c>
      <c r="K391" s="69" t="n">
        <v>7080</v>
      </c>
      <c r="L391" s="69" t="n">
        <v>5947.2</v>
      </c>
      <c r="M391" s="1" t="n">
        <v>41645</v>
      </c>
      <c r="N391" t="n">
        <v>6</v>
      </c>
      <c r="O391" t="inlineStr">
        <is>
          <t xml:space="preserve"> June </t>
        </is>
      </c>
      <c r="P391" t="n">
        <v>2014</v>
      </c>
      <c r="Q391">
        <f>IF(Financials[[#This Row],[ Units_Sold ]]&lt;&gt;INT(Financials[[#This Row],[ Units_Sold ]]),1,0)</f>
        <v/>
      </c>
      <c r="R391" s="10">
        <f>Financials[[#This Row],[ Profit ]]/Financials[[#This Row],[  Sales ]]</f>
        <v/>
      </c>
      <c r="S391" s="2">
        <f>Financials[[#This Row],[ COGS ]]/Financials[[#This Row],[  Sales ]]</f>
        <v/>
      </c>
      <c r="T391" s="3">
        <f>Financials[[#This Row],[ Discounts ]]/Financials[[#This Row],[  Sales ]]</f>
        <v/>
      </c>
      <c r="U391">
        <f>Financials[[#This Row],[  Sales ]]/Financials[[#This Row],[ Units_Sold ]]</f>
        <v/>
      </c>
      <c r="V391">
        <f>Financials[[#This Row],[ Profit ]]/Financials[[#This Row],[ Units_Sold ]]</f>
        <v/>
      </c>
      <c r="W391">
        <f>IF(Financials[[#This Row],[ Profit ]]&lt;0,1,0)</f>
        <v/>
      </c>
    </row>
    <row r="392">
      <c r="A392" t="inlineStr">
        <is>
          <t>Government</t>
        </is>
      </c>
      <c r="B392" t="inlineStr">
        <is>
          <t>United States of America</t>
        </is>
      </c>
      <c r="C392" t="inlineStr">
        <is>
          <t xml:space="preserve"> Amarilla </t>
        </is>
      </c>
      <c r="D392" t="inlineStr">
        <is>
          <t xml:space="preserve"> Medium </t>
        </is>
      </c>
      <c r="E392" t="n">
        <v>2907</v>
      </c>
      <c r="F392" s="69" t="n">
        <v>260</v>
      </c>
      <c r="G392" s="69" t="n">
        <v>7</v>
      </c>
      <c r="H392" s="69" t="n">
        <v>20349</v>
      </c>
      <c r="I392" s="5" t="n">
        <v>1627.92</v>
      </c>
      <c r="J392" s="69" t="n">
        <v>18721.08</v>
      </c>
      <c r="K392" s="69" t="n">
        <v>14535</v>
      </c>
      <c r="L392" s="69" t="n">
        <v>4186.08</v>
      </c>
      <c r="M392" s="1" t="n">
        <v>41645</v>
      </c>
      <c r="N392" t="n">
        <v>6</v>
      </c>
      <c r="O392" t="inlineStr">
        <is>
          <t xml:space="preserve"> June </t>
        </is>
      </c>
      <c r="P392" t="n">
        <v>2014</v>
      </c>
      <c r="Q392">
        <f>IF(Financials[[#This Row],[ Units_Sold ]]&lt;&gt;INT(Financials[[#This Row],[ Units_Sold ]]),1,0)</f>
        <v/>
      </c>
      <c r="R392" s="10">
        <f>Financials[[#This Row],[ Profit ]]/Financials[[#This Row],[  Sales ]]</f>
        <v/>
      </c>
      <c r="S392" s="2">
        <f>Financials[[#This Row],[ COGS ]]/Financials[[#This Row],[  Sales ]]</f>
        <v/>
      </c>
      <c r="T392" s="3">
        <f>Financials[[#This Row],[ Discounts ]]/Financials[[#This Row],[  Sales ]]</f>
        <v/>
      </c>
      <c r="U392">
        <f>Financials[[#This Row],[  Sales ]]/Financials[[#This Row],[ Units_Sold ]]</f>
        <v/>
      </c>
      <c r="V392">
        <f>Financials[[#This Row],[ Profit ]]/Financials[[#This Row],[ Units_Sold ]]</f>
        <v/>
      </c>
      <c r="W392">
        <f>IF(Financials[[#This Row],[ Profit ]]&lt;0,1,0)</f>
        <v/>
      </c>
    </row>
    <row r="393">
      <c r="A393" t="inlineStr">
        <is>
          <t>Government</t>
        </is>
      </c>
      <c r="B393" t="inlineStr">
        <is>
          <t>Germany</t>
        </is>
      </c>
      <c r="C393" t="inlineStr">
        <is>
          <t xml:space="preserve"> Amarilla </t>
        </is>
      </c>
      <c r="D393" t="inlineStr">
        <is>
          <t xml:space="preserve"> Medium </t>
        </is>
      </c>
      <c r="E393" t="n">
        <v>1366</v>
      </c>
      <c r="F393" s="69" t="n">
        <v>260</v>
      </c>
      <c r="G393" s="69" t="n">
        <v>20</v>
      </c>
      <c r="H393" s="69" t="n">
        <v>27320</v>
      </c>
      <c r="I393" s="5" t="n">
        <v>2185.6</v>
      </c>
      <c r="J393" s="69" t="n">
        <v>25134.4</v>
      </c>
      <c r="K393" s="69" t="n">
        <v>13660</v>
      </c>
      <c r="L393" s="69" t="n">
        <v>11474.4</v>
      </c>
      <c r="M393" s="1" t="n">
        <v>41645</v>
      </c>
      <c r="N393" t="n">
        <v>6</v>
      </c>
      <c r="O393" t="inlineStr">
        <is>
          <t xml:space="preserve"> June </t>
        </is>
      </c>
      <c r="P393" t="n">
        <v>2014</v>
      </c>
      <c r="Q393">
        <f>IF(Financials[[#This Row],[ Units_Sold ]]&lt;&gt;INT(Financials[[#This Row],[ Units_Sold ]]),1,0)</f>
        <v/>
      </c>
      <c r="R393" s="10">
        <f>Financials[[#This Row],[ Profit ]]/Financials[[#This Row],[  Sales ]]</f>
        <v/>
      </c>
      <c r="S393" s="2">
        <f>Financials[[#This Row],[ COGS ]]/Financials[[#This Row],[  Sales ]]</f>
        <v/>
      </c>
      <c r="T393" s="3">
        <f>Financials[[#This Row],[ Discounts ]]/Financials[[#This Row],[  Sales ]]</f>
        <v/>
      </c>
      <c r="U393">
        <f>Financials[[#This Row],[  Sales ]]/Financials[[#This Row],[ Units_Sold ]]</f>
        <v/>
      </c>
      <c r="V393">
        <f>Financials[[#This Row],[ Profit ]]/Financials[[#This Row],[ Units_Sold ]]</f>
        <v/>
      </c>
      <c r="W393">
        <f>IF(Financials[[#This Row],[ Profit ]]&lt;0,1,0)</f>
        <v/>
      </c>
    </row>
    <row r="394">
      <c r="A394" t="inlineStr">
        <is>
          <t>Small Business</t>
        </is>
      </c>
      <c r="B394" t="inlineStr">
        <is>
          <t>Mexico</t>
        </is>
      </c>
      <c r="C394" t="inlineStr">
        <is>
          <t xml:space="preserve"> Amarilla </t>
        </is>
      </c>
      <c r="D394" t="inlineStr">
        <is>
          <t xml:space="preserve"> Medium </t>
        </is>
      </c>
      <c r="E394" t="n">
        <v>2460</v>
      </c>
      <c r="F394" s="69" t="n">
        <v>260</v>
      </c>
      <c r="G394" s="69" t="n">
        <v>300</v>
      </c>
      <c r="H394" s="69" t="n">
        <v>738000</v>
      </c>
      <c r="I394" s="5" t="n">
        <v>59040</v>
      </c>
      <c r="J394" s="69" t="n">
        <v>678960</v>
      </c>
      <c r="K394" s="69" t="n">
        <v>615000</v>
      </c>
      <c r="L394" s="69" t="n">
        <v>63960</v>
      </c>
      <c r="M394" s="1" t="n">
        <v>41645</v>
      </c>
      <c r="N394" t="n">
        <v>6</v>
      </c>
      <c r="O394" t="inlineStr">
        <is>
          <t xml:space="preserve"> June </t>
        </is>
      </c>
      <c r="P394" t="n">
        <v>2014</v>
      </c>
      <c r="Q394">
        <f>IF(Financials[[#This Row],[ Units_Sold ]]&lt;&gt;INT(Financials[[#This Row],[ Units_Sold ]]),1,0)</f>
        <v/>
      </c>
      <c r="R394" s="10">
        <f>Financials[[#This Row],[ Profit ]]/Financials[[#This Row],[  Sales ]]</f>
        <v/>
      </c>
      <c r="S394" s="2">
        <f>Financials[[#This Row],[ COGS ]]/Financials[[#This Row],[  Sales ]]</f>
        <v/>
      </c>
      <c r="T394" s="3">
        <f>Financials[[#This Row],[ Discounts ]]/Financials[[#This Row],[  Sales ]]</f>
        <v/>
      </c>
      <c r="U394">
        <f>Financials[[#This Row],[  Sales ]]/Financials[[#This Row],[ Units_Sold ]]</f>
        <v/>
      </c>
      <c r="V394">
        <f>Financials[[#This Row],[ Profit ]]/Financials[[#This Row],[ Units_Sold ]]</f>
        <v/>
      </c>
      <c r="W394">
        <f>IF(Financials[[#This Row],[ Profit ]]&lt;0,1,0)</f>
        <v/>
      </c>
    </row>
    <row r="395">
      <c r="A395" t="inlineStr">
        <is>
          <t>Government</t>
        </is>
      </c>
      <c r="B395" t="inlineStr">
        <is>
          <t>Germany</t>
        </is>
      </c>
      <c r="C395" t="inlineStr">
        <is>
          <t xml:space="preserve"> Amarilla </t>
        </is>
      </c>
      <c r="D395" t="inlineStr">
        <is>
          <t xml:space="preserve"> Medium </t>
        </is>
      </c>
      <c r="E395" t="n">
        <v>1520</v>
      </c>
      <c r="F395" s="69" t="n">
        <v>260</v>
      </c>
      <c r="G395" s="69" t="n">
        <v>20</v>
      </c>
      <c r="H395" s="69" t="n">
        <v>30400</v>
      </c>
      <c r="I395" s="5" t="n">
        <v>2432</v>
      </c>
      <c r="J395" s="69" t="n">
        <v>27968</v>
      </c>
      <c r="K395" s="69" t="n">
        <v>15200</v>
      </c>
      <c r="L395" s="69" t="n">
        <v>12768</v>
      </c>
      <c r="M395" s="1" t="n">
        <v>41650</v>
      </c>
      <c r="N395" t="n">
        <v>11</v>
      </c>
      <c r="O395" t="inlineStr">
        <is>
          <t xml:space="preserve"> November </t>
        </is>
      </c>
      <c r="P395" t="n">
        <v>2014</v>
      </c>
      <c r="Q395">
        <f>IF(Financials[[#This Row],[ Units_Sold ]]&lt;&gt;INT(Financials[[#This Row],[ Units_Sold ]]),1,0)</f>
        <v/>
      </c>
      <c r="R395" s="10">
        <f>Financials[[#This Row],[ Profit ]]/Financials[[#This Row],[  Sales ]]</f>
        <v/>
      </c>
      <c r="S395" s="2">
        <f>Financials[[#This Row],[ COGS ]]/Financials[[#This Row],[  Sales ]]</f>
        <v/>
      </c>
      <c r="T395" s="3">
        <f>Financials[[#This Row],[ Discounts ]]/Financials[[#This Row],[  Sales ]]</f>
        <v/>
      </c>
      <c r="U395">
        <f>Financials[[#This Row],[  Sales ]]/Financials[[#This Row],[ Units_Sold ]]</f>
        <v/>
      </c>
      <c r="V395">
        <f>Financials[[#This Row],[ Profit ]]/Financials[[#This Row],[ Units_Sold ]]</f>
        <v/>
      </c>
      <c r="W395">
        <f>IF(Financials[[#This Row],[ Profit ]]&lt;0,1,0)</f>
        <v/>
      </c>
    </row>
    <row r="396">
      <c r="A396" t="inlineStr">
        <is>
          <t>Midmarket</t>
        </is>
      </c>
      <c r="B396" t="inlineStr">
        <is>
          <t>Germany</t>
        </is>
      </c>
      <c r="C396" t="inlineStr">
        <is>
          <t xml:space="preserve"> Amarilla </t>
        </is>
      </c>
      <c r="D396" t="inlineStr">
        <is>
          <t xml:space="preserve"> Medium </t>
        </is>
      </c>
      <c r="E396" t="n">
        <v>711</v>
      </c>
      <c r="F396" s="69" t="n">
        <v>260</v>
      </c>
      <c r="G396" s="69" t="n">
        <v>15</v>
      </c>
      <c r="H396" s="69" t="n">
        <v>10665</v>
      </c>
      <c r="I396" s="5" t="n">
        <v>853.2</v>
      </c>
      <c r="J396" s="69" t="n">
        <v>9811.799999999999</v>
      </c>
      <c r="K396" s="69" t="n">
        <v>7110</v>
      </c>
      <c r="L396" s="69" t="n">
        <v>2701.8</v>
      </c>
      <c r="M396" s="1" t="n">
        <v>41651</v>
      </c>
      <c r="N396" t="n">
        <v>12</v>
      </c>
      <c r="O396" t="inlineStr">
        <is>
          <t xml:space="preserve"> December </t>
        </is>
      </c>
      <c r="P396" t="n">
        <v>2014</v>
      </c>
      <c r="Q396">
        <f>IF(Financials[[#This Row],[ Units_Sold ]]&lt;&gt;INT(Financials[[#This Row],[ Units_Sold ]]),1,0)</f>
        <v/>
      </c>
      <c r="R396" s="10">
        <f>Financials[[#This Row],[ Profit ]]/Financials[[#This Row],[  Sales ]]</f>
        <v/>
      </c>
      <c r="S396" s="2">
        <f>Financials[[#This Row],[ COGS ]]/Financials[[#This Row],[  Sales ]]</f>
        <v/>
      </c>
      <c r="T396" s="3">
        <f>Financials[[#This Row],[ Discounts ]]/Financials[[#This Row],[  Sales ]]</f>
        <v/>
      </c>
      <c r="U396">
        <f>Financials[[#This Row],[  Sales ]]/Financials[[#This Row],[ Units_Sold ]]</f>
        <v/>
      </c>
      <c r="V396">
        <f>Financials[[#This Row],[ Profit ]]/Financials[[#This Row],[ Units_Sold ]]</f>
        <v/>
      </c>
      <c r="W396">
        <f>IF(Financials[[#This Row],[ Profit ]]&lt;0,1,0)</f>
        <v/>
      </c>
    </row>
    <row r="397">
      <c r="A397" t="inlineStr">
        <is>
          <t>Channel Partners</t>
        </is>
      </c>
      <c r="B397" t="inlineStr">
        <is>
          <t>Mexico</t>
        </is>
      </c>
      <c r="C397" t="inlineStr">
        <is>
          <t xml:space="preserve"> Amarilla </t>
        </is>
      </c>
      <c r="D397" t="inlineStr">
        <is>
          <t xml:space="preserve"> Medium </t>
        </is>
      </c>
      <c r="E397" t="n">
        <v>1375</v>
      </c>
      <c r="F397" s="69" t="n">
        <v>260</v>
      </c>
      <c r="G397" s="69" t="n">
        <v>12</v>
      </c>
      <c r="H397" s="69" t="n">
        <v>16500</v>
      </c>
      <c r="I397" s="5" t="n">
        <v>1320</v>
      </c>
      <c r="J397" s="69" t="n">
        <v>15180</v>
      </c>
      <c r="K397" s="69" t="n">
        <v>4125</v>
      </c>
      <c r="L397" s="69" t="n">
        <v>11055</v>
      </c>
      <c r="M397" s="1" t="n">
        <v>41286</v>
      </c>
      <c r="N397" t="n">
        <v>12</v>
      </c>
      <c r="O397" t="inlineStr">
        <is>
          <t xml:space="preserve"> December </t>
        </is>
      </c>
      <c r="P397" t="n">
        <v>2013</v>
      </c>
      <c r="Q397">
        <f>IF(Financials[[#This Row],[ Units_Sold ]]&lt;&gt;INT(Financials[[#This Row],[ Units_Sold ]]),1,0)</f>
        <v/>
      </c>
      <c r="R397" s="10">
        <f>Financials[[#This Row],[ Profit ]]/Financials[[#This Row],[  Sales ]]</f>
        <v/>
      </c>
      <c r="S397" s="2">
        <f>Financials[[#This Row],[ COGS ]]/Financials[[#This Row],[  Sales ]]</f>
        <v/>
      </c>
      <c r="T397" s="3">
        <f>Financials[[#This Row],[ Discounts ]]/Financials[[#This Row],[  Sales ]]</f>
        <v/>
      </c>
      <c r="U397">
        <f>Financials[[#This Row],[  Sales ]]/Financials[[#This Row],[ Units_Sold ]]</f>
        <v/>
      </c>
      <c r="V397">
        <f>Financials[[#This Row],[ Profit ]]/Financials[[#This Row],[ Units_Sold ]]</f>
        <v/>
      </c>
      <c r="W397">
        <f>IF(Financials[[#This Row],[ Profit ]]&lt;0,1,0)</f>
        <v/>
      </c>
    </row>
    <row r="398">
      <c r="A398" t="inlineStr">
        <is>
          <t>Small Business</t>
        </is>
      </c>
      <c r="B398" t="inlineStr">
        <is>
          <t>Mexico</t>
        </is>
      </c>
      <c r="C398" t="inlineStr">
        <is>
          <t xml:space="preserve"> Amarilla </t>
        </is>
      </c>
      <c r="D398" t="inlineStr">
        <is>
          <t xml:space="preserve"> Medium </t>
        </is>
      </c>
      <c r="E398" t="n">
        <v>635</v>
      </c>
      <c r="F398" s="69" t="n">
        <v>260</v>
      </c>
      <c r="G398" s="69" t="n">
        <v>300</v>
      </c>
      <c r="H398" s="69" t="n">
        <v>190500</v>
      </c>
      <c r="I398" s="5" t="n">
        <v>15240</v>
      </c>
      <c r="J398" s="69" t="n">
        <v>175260</v>
      </c>
      <c r="K398" s="69" t="n">
        <v>158750</v>
      </c>
      <c r="L398" s="69" t="n">
        <v>16510</v>
      </c>
      <c r="M398" s="1" t="n">
        <v>41651</v>
      </c>
      <c r="N398" t="n">
        <v>12</v>
      </c>
      <c r="O398" t="inlineStr">
        <is>
          <t xml:space="preserve"> December </t>
        </is>
      </c>
      <c r="P398" t="n">
        <v>2014</v>
      </c>
      <c r="Q398">
        <f>IF(Financials[[#This Row],[ Units_Sold ]]&lt;&gt;INT(Financials[[#This Row],[ Units_Sold ]]),1,0)</f>
        <v/>
      </c>
      <c r="R398" s="10">
        <f>Financials[[#This Row],[ Profit ]]/Financials[[#This Row],[  Sales ]]</f>
        <v/>
      </c>
      <c r="S398" s="2">
        <f>Financials[[#This Row],[ COGS ]]/Financials[[#This Row],[  Sales ]]</f>
        <v/>
      </c>
      <c r="T398" s="3">
        <f>Financials[[#This Row],[ Discounts ]]/Financials[[#This Row],[  Sales ]]</f>
        <v/>
      </c>
      <c r="U398">
        <f>Financials[[#This Row],[  Sales ]]/Financials[[#This Row],[ Units_Sold ]]</f>
        <v/>
      </c>
      <c r="V398">
        <f>Financials[[#This Row],[ Profit ]]/Financials[[#This Row],[ Units_Sold ]]</f>
        <v/>
      </c>
      <c r="W398">
        <f>IF(Financials[[#This Row],[ Profit ]]&lt;0,1,0)</f>
        <v/>
      </c>
    </row>
    <row r="399">
      <c r="A399" t="inlineStr">
        <is>
          <t>Government</t>
        </is>
      </c>
      <c r="B399" t="inlineStr">
        <is>
          <t>United States of America</t>
        </is>
      </c>
      <c r="C399" t="inlineStr">
        <is>
          <t xml:space="preserve"> VTT </t>
        </is>
      </c>
      <c r="D399" t="inlineStr">
        <is>
          <t xml:space="preserve"> Medium </t>
        </is>
      </c>
      <c r="E399" t="n">
        <v>436.5</v>
      </c>
      <c r="F399" s="69" t="n">
        <v>250</v>
      </c>
      <c r="G399" s="69" t="n">
        <v>20</v>
      </c>
      <c r="H399" s="69" t="n">
        <v>8730</v>
      </c>
      <c r="I399" s="5" t="n">
        <v>698.4</v>
      </c>
      <c r="J399" s="69" t="n">
        <v>8031.6</v>
      </c>
      <c r="K399" s="69" t="n">
        <v>4365</v>
      </c>
      <c r="L399" s="69" t="n">
        <v>3666.6</v>
      </c>
      <c r="M399" s="1" t="n">
        <v>41646</v>
      </c>
      <c r="N399" t="n">
        <v>7</v>
      </c>
      <c r="O399" t="inlineStr">
        <is>
          <t xml:space="preserve"> July </t>
        </is>
      </c>
      <c r="P399" t="n">
        <v>2014</v>
      </c>
      <c r="Q399">
        <f>IF(Financials[[#This Row],[ Units_Sold ]]&lt;&gt;INT(Financials[[#This Row],[ Units_Sold ]]),1,0)</f>
        <v/>
      </c>
      <c r="R399" s="10">
        <f>Financials[[#This Row],[ Profit ]]/Financials[[#This Row],[  Sales ]]</f>
        <v/>
      </c>
      <c r="S399" s="2">
        <f>Financials[[#This Row],[ COGS ]]/Financials[[#This Row],[  Sales ]]</f>
        <v/>
      </c>
      <c r="T399" s="3">
        <f>Financials[[#This Row],[ Discounts ]]/Financials[[#This Row],[  Sales ]]</f>
        <v/>
      </c>
      <c r="U399">
        <f>Financials[[#This Row],[  Sales ]]/Financials[[#This Row],[ Units_Sold ]]</f>
        <v/>
      </c>
      <c r="V399">
        <f>Financials[[#This Row],[ Profit ]]/Financials[[#This Row],[ Units_Sold ]]</f>
        <v/>
      </c>
      <c r="W399">
        <f>IF(Financials[[#This Row],[ Profit ]]&lt;0,1,0)</f>
        <v/>
      </c>
    </row>
    <row r="400">
      <c r="A400" t="inlineStr">
        <is>
          <t>Small Business</t>
        </is>
      </c>
      <c r="B400" t="inlineStr">
        <is>
          <t>Canada</t>
        </is>
      </c>
      <c r="C400" t="inlineStr">
        <is>
          <t xml:space="preserve"> Carretera </t>
        </is>
      </c>
      <c r="D400" t="inlineStr">
        <is>
          <t xml:space="preserve"> Medium </t>
        </is>
      </c>
      <c r="E400" t="n">
        <v>1094</v>
      </c>
      <c r="F400" s="69" t="n">
        <v>3</v>
      </c>
      <c r="G400" s="69" t="n">
        <v>300</v>
      </c>
      <c r="H400" s="69" t="n">
        <v>328200</v>
      </c>
      <c r="I400" s="5" t="n">
        <v>29538</v>
      </c>
      <c r="J400" s="69" t="n">
        <v>298662</v>
      </c>
      <c r="K400" s="69" t="n">
        <v>273500</v>
      </c>
      <c r="L400" s="69" t="n">
        <v>25162</v>
      </c>
      <c r="M400" s="1" t="n">
        <v>41645</v>
      </c>
      <c r="N400" t="n">
        <v>6</v>
      </c>
      <c r="O400" t="inlineStr">
        <is>
          <t xml:space="preserve"> June </t>
        </is>
      </c>
      <c r="P400" t="n">
        <v>2014</v>
      </c>
      <c r="Q400">
        <f>IF(Financials[[#This Row],[ Units_Sold ]]&lt;&gt;INT(Financials[[#This Row],[ Units_Sold ]]),1,0)</f>
        <v/>
      </c>
      <c r="R400" s="10">
        <f>Financials[[#This Row],[ Profit ]]/Financials[[#This Row],[  Sales ]]</f>
        <v/>
      </c>
      <c r="S400" s="2">
        <f>Financials[[#This Row],[ COGS ]]/Financials[[#This Row],[  Sales ]]</f>
        <v/>
      </c>
      <c r="T400" s="3">
        <f>Financials[[#This Row],[ Discounts ]]/Financials[[#This Row],[  Sales ]]</f>
        <v/>
      </c>
      <c r="U400">
        <f>Financials[[#This Row],[  Sales ]]/Financials[[#This Row],[ Units_Sold ]]</f>
        <v/>
      </c>
      <c r="V400">
        <f>Financials[[#This Row],[ Profit ]]/Financials[[#This Row],[ Units_Sold ]]</f>
        <v/>
      </c>
      <c r="W400">
        <f>IF(Financials[[#This Row],[ Profit ]]&lt;0,1,0)</f>
        <v/>
      </c>
    </row>
    <row r="401">
      <c r="A401" t="inlineStr">
        <is>
          <t>Channel Partners</t>
        </is>
      </c>
      <c r="B401" t="inlineStr">
        <is>
          <t>Mexico</t>
        </is>
      </c>
      <c r="C401" t="inlineStr">
        <is>
          <t xml:space="preserve"> Carretera </t>
        </is>
      </c>
      <c r="D401" t="inlineStr">
        <is>
          <t xml:space="preserve"> Medium </t>
        </is>
      </c>
      <c r="E401" t="n">
        <v>367</v>
      </c>
      <c r="F401" s="69" t="n">
        <v>3</v>
      </c>
      <c r="G401" s="69" t="n">
        <v>12</v>
      </c>
      <c r="H401" s="69" t="n">
        <v>4404</v>
      </c>
      <c r="I401" s="5" t="n">
        <v>396.36</v>
      </c>
      <c r="J401" s="69" t="n">
        <v>4007.64</v>
      </c>
      <c r="K401" s="69" t="n">
        <v>1101</v>
      </c>
      <c r="L401" s="69" t="n">
        <v>2906.64</v>
      </c>
      <c r="M401" s="1" t="n">
        <v>41284</v>
      </c>
      <c r="N401" t="n">
        <v>10</v>
      </c>
      <c r="O401" t="inlineStr">
        <is>
          <t xml:space="preserve"> October </t>
        </is>
      </c>
      <c r="P401" t="n">
        <v>2013</v>
      </c>
      <c r="Q401">
        <f>IF(Financials[[#This Row],[ Units_Sold ]]&lt;&gt;INT(Financials[[#This Row],[ Units_Sold ]]),1,0)</f>
        <v/>
      </c>
      <c r="R401" s="10">
        <f>Financials[[#This Row],[ Profit ]]/Financials[[#This Row],[  Sales ]]</f>
        <v/>
      </c>
      <c r="S401" s="2">
        <f>Financials[[#This Row],[ COGS ]]/Financials[[#This Row],[  Sales ]]</f>
        <v/>
      </c>
      <c r="T401" s="3">
        <f>Financials[[#This Row],[ Discounts ]]/Financials[[#This Row],[  Sales ]]</f>
        <v/>
      </c>
      <c r="U401">
        <f>Financials[[#This Row],[  Sales ]]/Financials[[#This Row],[ Units_Sold ]]</f>
        <v/>
      </c>
      <c r="V401">
        <f>Financials[[#This Row],[ Profit ]]/Financials[[#This Row],[ Units_Sold ]]</f>
        <v/>
      </c>
      <c r="W401">
        <f>IF(Financials[[#This Row],[ Profit ]]&lt;0,1,0)</f>
        <v/>
      </c>
    </row>
    <row r="402">
      <c r="A402" t="inlineStr">
        <is>
          <t>Small Business</t>
        </is>
      </c>
      <c r="B402" t="inlineStr">
        <is>
          <t>Canada</t>
        </is>
      </c>
      <c r="C402" t="inlineStr">
        <is>
          <t xml:space="preserve"> Montana </t>
        </is>
      </c>
      <c r="D402" t="inlineStr">
        <is>
          <t xml:space="preserve"> Medium </t>
        </is>
      </c>
      <c r="E402" t="n">
        <v>3802.5</v>
      </c>
      <c r="F402" s="69" t="n">
        <v>5</v>
      </c>
      <c r="G402" s="69" t="n">
        <v>300</v>
      </c>
      <c r="H402" s="69" t="n">
        <v>1140750</v>
      </c>
      <c r="I402" s="5" t="n">
        <v>102667.5</v>
      </c>
      <c r="J402" s="69" t="n">
        <v>1038082.5</v>
      </c>
      <c r="K402" s="69" t="n">
        <v>950625</v>
      </c>
      <c r="L402" s="69" t="n">
        <v>87457.5</v>
      </c>
      <c r="M402" s="1" t="n">
        <v>41643</v>
      </c>
      <c r="N402" t="n">
        <v>4</v>
      </c>
      <c r="O402" t="inlineStr">
        <is>
          <t xml:space="preserve"> April </t>
        </is>
      </c>
      <c r="P402" t="n">
        <v>2014</v>
      </c>
      <c r="Q402">
        <f>IF(Financials[[#This Row],[ Units_Sold ]]&lt;&gt;INT(Financials[[#This Row],[ Units_Sold ]]),1,0)</f>
        <v/>
      </c>
      <c r="R402" s="10">
        <f>Financials[[#This Row],[ Profit ]]/Financials[[#This Row],[  Sales ]]</f>
        <v/>
      </c>
      <c r="S402" s="2">
        <f>Financials[[#This Row],[ COGS ]]/Financials[[#This Row],[  Sales ]]</f>
        <v/>
      </c>
      <c r="T402" s="3">
        <f>Financials[[#This Row],[ Discounts ]]/Financials[[#This Row],[  Sales ]]</f>
        <v/>
      </c>
      <c r="U402">
        <f>Financials[[#This Row],[  Sales ]]/Financials[[#This Row],[ Units_Sold ]]</f>
        <v/>
      </c>
      <c r="V402">
        <f>Financials[[#This Row],[ Profit ]]/Financials[[#This Row],[ Units_Sold ]]</f>
        <v/>
      </c>
      <c r="W402">
        <f>IF(Financials[[#This Row],[ Profit ]]&lt;0,1,0)</f>
        <v/>
      </c>
    </row>
    <row r="403">
      <c r="A403" t="inlineStr">
        <is>
          <t>Government</t>
        </is>
      </c>
      <c r="B403" t="inlineStr">
        <is>
          <t>France</t>
        </is>
      </c>
      <c r="C403" t="inlineStr">
        <is>
          <t xml:space="preserve"> Montana </t>
        </is>
      </c>
      <c r="D403" t="inlineStr">
        <is>
          <t xml:space="preserve"> Medium </t>
        </is>
      </c>
      <c r="E403" t="n">
        <v>1666</v>
      </c>
      <c r="F403" s="69" t="n">
        <v>5</v>
      </c>
      <c r="G403" s="69" t="n">
        <v>350</v>
      </c>
      <c r="H403" s="69" t="n">
        <v>583100</v>
      </c>
      <c r="I403" s="5" t="n">
        <v>52479</v>
      </c>
      <c r="J403" s="69" t="n">
        <v>530621</v>
      </c>
      <c r="K403" s="69" t="n">
        <v>433160</v>
      </c>
      <c r="L403" s="69" t="n">
        <v>97461</v>
      </c>
      <c r="M403" s="1" t="n">
        <v>41644</v>
      </c>
      <c r="N403" t="n">
        <v>5</v>
      </c>
      <c r="O403" t="inlineStr">
        <is>
          <t xml:space="preserve"> May </t>
        </is>
      </c>
      <c r="P403" t="n">
        <v>2014</v>
      </c>
      <c r="Q403">
        <f>IF(Financials[[#This Row],[ Units_Sold ]]&lt;&gt;INT(Financials[[#This Row],[ Units_Sold ]]),1,0)</f>
        <v/>
      </c>
      <c r="R403" s="10">
        <f>Financials[[#This Row],[ Profit ]]/Financials[[#This Row],[  Sales ]]</f>
        <v/>
      </c>
      <c r="S403" s="2">
        <f>Financials[[#This Row],[ COGS ]]/Financials[[#This Row],[  Sales ]]</f>
        <v/>
      </c>
      <c r="T403" s="3">
        <f>Financials[[#This Row],[ Discounts ]]/Financials[[#This Row],[  Sales ]]</f>
        <v/>
      </c>
      <c r="U403">
        <f>Financials[[#This Row],[  Sales ]]/Financials[[#This Row],[ Units_Sold ]]</f>
        <v/>
      </c>
      <c r="V403">
        <f>Financials[[#This Row],[ Profit ]]/Financials[[#This Row],[ Units_Sold ]]</f>
        <v/>
      </c>
      <c r="W403">
        <f>IF(Financials[[#This Row],[ Profit ]]&lt;0,1,0)</f>
        <v/>
      </c>
    </row>
    <row r="404">
      <c r="A404" t="inlineStr">
        <is>
          <t>Small Business</t>
        </is>
      </c>
      <c r="B404" t="inlineStr">
        <is>
          <t>France</t>
        </is>
      </c>
      <c r="C404" t="inlineStr">
        <is>
          <t xml:space="preserve"> Montana </t>
        </is>
      </c>
      <c r="D404" t="inlineStr">
        <is>
          <t xml:space="preserve"> Medium </t>
        </is>
      </c>
      <c r="E404" t="n">
        <v>322</v>
      </c>
      <c r="F404" s="69" t="n">
        <v>5</v>
      </c>
      <c r="G404" s="69" t="n">
        <v>300</v>
      </c>
      <c r="H404" s="69" t="n">
        <v>96600</v>
      </c>
      <c r="I404" s="5" t="n">
        <v>8694</v>
      </c>
      <c r="J404" s="69" t="n">
        <v>87906</v>
      </c>
      <c r="K404" s="69" t="n">
        <v>80500</v>
      </c>
      <c r="L404" s="69" t="n">
        <v>7406</v>
      </c>
      <c r="M404" s="1" t="n">
        <v>41283</v>
      </c>
      <c r="N404" t="n">
        <v>9</v>
      </c>
      <c r="O404" t="inlineStr">
        <is>
          <t xml:space="preserve"> September </t>
        </is>
      </c>
      <c r="P404" t="n">
        <v>2013</v>
      </c>
      <c r="Q404">
        <f>IF(Financials[[#This Row],[ Units_Sold ]]&lt;&gt;INT(Financials[[#This Row],[ Units_Sold ]]),1,0)</f>
        <v/>
      </c>
      <c r="R404" s="10">
        <f>Financials[[#This Row],[ Profit ]]/Financials[[#This Row],[  Sales ]]</f>
        <v/>
      </c>
      <c r="S404" s="2">
        <f>Financials[[#This Row],[ COGS ]]/Financials[[#This Row],[  Sales ]]</f>
        <v/>
      </c>
      <c r="T404" s="3">
        <f>Financials[[#This Row],[ Discounts ]]/Financials[[#This Row],[  Sales ]]</f>
        <v/>
      </c>
      <c r="U404">
        <f>Financials[[#This Row],[  Sales ]]/Financials[[#This Row],[ Units_Sold ]]</f>
        <v/>
      </c>
      <c r="V404">
        <f>Financials[[#This Row],[ Profit ]]/Financials[[#This Row],[ Units_Sold ]]</f>
        <v/>
      </c>
      <c r="W404">
        <f>IF(Financials[[#This Row],[ Profit ]]&lt;0,1,0)</f>
        <v/>
      </c>
    </row>
    <row r="405">
      <c r="A405" t="inlineStr">
        <is>
          <t>Channel Partners</t>
        </is>
      </c>
      <c r="B405" t="inlineStr">
        <is>
          <t>Canada</t>
        </is>
      </c>
      <c r="C405" t="inlineStr">
        <is>
          <t xml:space="preserve"> Montana </t>
        </is>
      </c>
      <c r="D405" t="inlineStr">
        <is>
          <t xml:space="preserve"> Medium </t>
        </is>
      </c>
      <c r="E405" t="n">
        <v>2321</v>
      </c>
      <c r="F405" s="69" t="n">
        <v>5</v>
      </c>
      <c r="G405" s="69" t="n">
        <v>12</v>
      </c>
      <c r="H405" s="69" t="n">
        <v>27852</v>
      </c>
      <c r="I405" s="5" t="n">
        <v>2506.68</v>
      </c>
      <c r="J405" s="69" t="n">
        <v>25345.32</v>
      </c>
      <c r="K405" s="69" t="n">
        <v>6963</v>
      </c>
      <c r="L405" s="69" t="n">
        <v>18382.32</v>
      </c>
      <c r="M405" s="1" t="n">
        <v>41650</v>
      </c>
      <c r="N405" t="n">
        <v>11</v>
      </c>
      <c r="O405" t="inlineStr">
        <is>
          <t xml:space="preserve"> November </t>
        </is>
      </c>
      <c r="P405" t="n">
        <v>2014</v>
      </c>
      <c r="Q405">
        <f>IF(Financials[[#This Row],[ Units_Sold ]]&lt;&gt;INT(Financials[[#This Row],[ Units_Sold ]]),1,0)</f>
        <v/>
      </c>
      <c r="R405" s="10">
        <f>Financials[[#This Row],[ Profit ]]/Financials[[#This Row],[  Sales ]]</f>
        <v/>
      </c>
      <c r="S405" s="2">
        <f>Financials[[#This Row],[ COGS ]]/Financials[[#This Row],[  Sales ]]</f>
        <v/>
      </c>
      <c r="T405" s="3">
        <f>Financials[[#This Row],[ Discounts ]]/Financials[[#This Row],[  Sales ]]</f>
        <v/>
      </c>
      <c r="U405">
        <f>Financials[[#This Row],[  Sales ]]/Financials[[#This Row],[ Units_Sold ]]</f>
        <v/>
      </c>
      <c r="V405">
        <f>Financials[[#This Row],[ Profit ]]/Financials[[#This Row],[ Units_Sold ]]</f>
        <v/>
      </c>
      <c r="W405">
        <f>IF(Financials[[#This Row],[ Profit ]]&lt;0,1,0)</f>
        <v/>
      </c>
    </row>
    <row r="406">
      <c r="A406" t="inlineStr">
        <is>
          <t>Enterprise</t>
        </is>
      </c>
      <c r="B406" t="inlineStr">
        <is>
          <t>France</t>
        </is>
      </c>
      <c r="C406" t="inlineStr">
        <is>
          <t xml:space="preserve"> Montana </t>
        </is>
      </c>
      <c r="D406" t="inlineStr">
        <is>
          <t xml:space="preserve"> Medium </t>
        </is>
      </c>
      <c r="E406" t="n">
        <v>1857</v>
      </c>
      <c r="F406" s="69" t="n">
        <v>5</v>
      </c>
      <c r="G406" s="69" t="n">
        <v>125</v>
      </c>
      <c r="H406" s="69" t="n">
        <v>232125</v>
      </c>
      <c r="I406" s="5" t="n">
        <v>20891.25</v>
      </c>
      <c r="J406" s="69" t="n">
        <v>211233.75</v>
      </c>
      <c r="K406" s="69" t="n">
        <v>222840</v>
      </c>
      <c r="L406" s="69" t="n">
        <v>-11606.25</v>
      </c>
      <c r="M406" s="1" t="n">
        <v>41285</v>
      </c>
      <c r="N406" t="n">
        <v>11</v>
      </c>
      <c r="O406" t="inlineStr">
        <is>
          <t xml:space="preserve"> November </t>
        </is>
      </c>
      <c r="P406" t="n">
        <v>2013</v>
      </c>
      <c r="Q406">
        <f>IF(Financials[[#This Row],[ Units_Sold ]]&lt;&gt;INT(Financials[[#This Row],[ Units_Sold ]]),1,0)</f>
        <v/>
      </c>
      <c r="R406" s="10">
        <f>Financials[[#This Row],[ Profit ]]/Financials[[#This Row],[  Sales ]]</f>
        <v/>
      </c>
      <c r="S406" s="2">
        <f>Financials[[#This Row],[ COGS ]]/Financials[[#This Row],[  Sales ]]</f>
        <v/>
      </c>
      <c r="T406" s="3">
        <f>Financials[[#This Row],[ Discounts ]]/Financials[[#This Row],[  Sales ]]</f>
        <v/>
      </c>
      <c r="U406">
        <f>Financials[[#This Row],[  Sales ]]/Financials[[#This Row],[ Units_Sold ]]</f>
        <v/>
      </c>
      <c r="V406">
        <f>Financials[[#This Row],[ Profit ]]/Financials[[#This Row],[ Units_Sold ]]</f>
        <v/>
      </c>
      <c r="W406">
        <f>IF(Financials[[#This Row],[ Profit ]]&lt;0,1,0)</f>
        <v/>
      </c>
    </row>
    <row r="407">
      <c r="A407" t="inlineStr">
        <is>
          <t>Government</t>
        </is>
      </c>
      <c r="B407" t="inlineStr">
        <is>
          <t>Canada</t>
        </is>
      </c>
      <c r="C407" t="inlineStr">
        <is>
          <t xml:space="preserve"> Montana </t>
        </is>
      </c>
      <c r="D407" t="inlineStr">
        <is>
          <t xml:space="preserve"> Medium </t>
        </is>
      </c>
      <c r="E407" t="n">
        <v>1611</v>
      </c>
      <c r="F407" s="69" t="n">
        <v>5</v>
      </c>
      <c r="G407" s="69" t="n">
        <v>7</v>
      </c>
      <c r="H407" s="69" t="n">
        <v>11277</v>
      </c>
      <c r="I407" s="5" t="n">
        <v>1014.93</v>
      </c>
      <c r="J407" s="69" t="n">
        <v>10262.07</v>
      </c>
      <c r="K407" s="69" t="n">
        <v>8055</v>
      </c>
      <c r="L407" s="69" t="n">
        <v>2207.07</v>
      </c>
      <c r="M407" s="1" t="n">
        <v>41286</v>
      </c>
      <c r="N407" t="n">
        <v>12</v>
      </c>
      <c r="O407" t="inlineStr">
        <is>
          <t xml:space="preserve"> December </t>
        </is>
      </c>
      <c r="P407" t="n">
        <v>2013</v>
      </c>
      <c r="Q407">
        <f>IF(Financials[[#This Row],[ Units_Sold ]]&lt;&gt;INT(Financials[[#This Row],[ Units_Sold ]]),1,0)</f>
        <v/>
      </c>
      <c r="R407" s="10">
        <f>Financials[[#This Row],[ Profit ]]/Financials[[#This Row],[  Sales ]]</f>
        <v/>
      </c>
      <c r="S407" s="2">
        <f>Financials[[#This Row],[ COGS ]]/Financials[[#This Row],[  Sales ]]</f>
        <v/>
      </c>
      <c r="T407" s="3">
        <f>Financials[[#This Row],[ Discounts ]]/Financials[[#This Row],[  Sales ]]</f>
        <v/>
      </c>
      <c r="U407">
        <f>Financials[[#This Row],[  Sales ]]/Financials[[#This Row],[ Units_Sold ]]</f>
        <v/>
      </c>
      <c r="V407">
        <f>Financials[[#This Row],[ Profit ]]/Financials[[#This Row],[ Units_Sold ]]</f>
        <v/>
      </c>
      <c r="W407">
        <f>IF(Financials[[#This Row],[ Profit ]]&lt;0,1,0)</f>
        <v/>
      </c>
    </row>
    <row r="408">
      <c r="A408" t="inlineStr">
        <is>
          <t>Enterprise</t>
        </is>
      </c>
      <c r="B408" t="inlineStr">
        <is>
          <t>United States of America</t>
        </is>
      </c>
      <c r="C408" t="inlineStr">
        <is>
          <t xml:space="preserve"> Montana </t>
        </is>
      </c>
      <c r="D408" t="inlineStr">
        <is>
          <t xml:space="preserve"> Medium </t>
        </is>
      </c>
      <c r="E408" t="n">
        <v>2797</v>
      </c>
      <c r="F408" s="69" t="n">
        <v>5</v>
      </c>
      <c r="G408" s="69" t="n">
        <v>125</v>
      </c>
      <c r="H408" s="69" t="n">
        <v>349625</v>
      </c>
      <c r="I408" s="5" t="n">
        <v>31466.25</v>
      </c>
      <c r="J408" s="69" t="n">
        <v>318158.75</v>
      </c>
      <c r="K408" s="69" t="n">
        <v>335640</v>
      </c>
      <c r="L408" s="69" t="n">
        <v>-17481.25</v>
      </c>
      <c r="M408" s="1" t="n">
        <v>41651</v>
      </c>
      <c r="N408" t="n">
        <v>12</v>
      </c>
      <c r="O408" t="inlineStr">
        <is>
          <t xml:space="preserve"> December </t>
        </is>
      </c>
      <c r="P408" t="n">
        <v>2014</v>
      </c>
      <c r="Q408">
        <f>IF(Financials[[#This Row],[ Units_Sold ]]&lt;&gt;INT(Financials[[#This Row],[ Units_Sold ]]),1,0)</f>
        <v/>
      </c>
      <c r="R408" s="10">
        <f>Financials[[#This Row],[ Profit ]]/Financials[[#This Row],[  Sales ]]</f>
        <v/>
      </c>
      <c r="S408" s="2">
        <f>Financials[[#This Row],[ COGS ]]/Financials[[#This Row],[  Sales ]]</f>
        <v/>
      </c>
      <c r="T408" s="3">
        <f>Financials[[#This Row],[ Discounts ]]/Financials[[#This Row],[  Sales ]]</f>
        <v/>
      </c>
      <c r="U408">
        <f>Financials[[#This Row],[  Sales ]]/Financials[[#This Row],[ Units_Sold ]]</f>
        <v/>
      </c>
      <c r="V408">
        <f>Financials[[#This Row],[ Profit ]]/Financials[[#This Row],[ Units_Sold ]]</f>
        <v/>
      </c>
      <c r="W408">
        <f>IF(Financials[[#This Row],[ Profit ]]&lt;0,1,0)</f>
        <v/>
      </c>
    </row>
    <row r="409">
      <c r="A409" t="inlineStr">
        <is>
          <t>Small Business</t>
        </is>
      </c>
      <c r="B409" t="inlineStr">
        <is>
          <t>Germany</t>
        </is>
      </c>
      <c r="C409" t="inlineStr">
        <is>
          <t xml:space="preserve"> Montana </t>
        </is>
      </c>
      <c r="D409" t="inlineStr">
        <is>
          <t xml:space="preserve"> Medium </t>
        </is>
      </c>
      <c r="E409" t="n">
        <v>334</v>
      </c>
      <c r="F409" s="69" t="n">
        <v>5</v>
      </c>
      <c r="G409" s="69" t="n">
        <v>300</v>
      </c>
      <c r="H409" s="69" t="n">
        <v>100200</v>
      </c>
      <c r="I409" s="5" t="n">
        <v>9018</v>
      </c>
      <c r="J409" s="69" t="n">
        <v>91182</v>
      </c>
      <c r="K409" s="69" t="n">
        <v>83500</v>
      </c>
      <c r="L409" s="69" t="n">
        <v>7682</v>
      </c>
      <c r="M409" s="1" t="n">
        <v>41286</v>
      </c>
      <c r="N409" t="n">
        <v>12</v>
      </c>
      <c r="O409" t="inlineStr">
        <is>
          <t xml:space="preserve"> December </t>
        </is>
      </c>
      <c r="P409" t="n">
        <v>2013</v>
      </c>
      <c r="Q409">
        <f>IF(Financials[[#This Row],[ Units_Sold ]]&lt;&gt;INT(Financials[[#This Row],[ Units_Sold ]]),1,0)</f>
        <v/>
      </c>
      <c r="R409" s="10">
        <f>Financials[[#This Row],[ Profit ]]/Financials[[#This Row],[  Sales ]]</f>
        <v/>
      </c>
      <c r="S409" s="2">
        <f>Financials[[#This Row],[ COGS ]]/Financials[[#This Row],[  Sales ]]</f>
        <v/>
      </c>
      <c r="T409" s="3">
        <f>Financials[[#This Row],[ Discounts ]]/Financials[[#This Row],[  Sales ]]</f>
        <v/>
      </c>
      <c r="U409">
        <f>Financials[[#This Row],[  Sales ]]/Financials[[#This Row],[ Units_Sold ]]</f>
        <v/>
      </c>
      <c r="V409">
        <f>Financials[[#This Row],[ Profit ]]/Financials[[#This Row],[ Units_Sold ]]</f>
        <v/>
      </c>
      <c r="W409">
        <f>IF(Financials[[#This Row],[ Profit ]]&lt;0,1,0)</f>
        <v/>
      </c>
    </row>
    <row r="410">
      <c r="A410" t="inlineStr">
        <is>
          <t>Small Business</t>
        </is>
      </c>
      <c r="B410" t="inlineStr">
        <is>
          <t>Mexico</t>
        </is>
      </c>
      <c r="C410" t="inlineStr">
        <is>
          <t xml:space="preserve"> Paseo </t>
        </is>
      </c>
      <c r="D410" t="inlineStr">
        <is>
          <t xml:space="preserve"> Medium </t>
        </is>
      </c>
      <c r="E410" t="n">
        <v>2565</v>
      </c>
      <c r="F410" s="69" t="n">
        <v>10</v>
      </c>
      <c r="G410" s="69" t="n">
        <v>300</v>
      </c>
      <c r="H410" s="69" t="n">
        <v>769500</v>
      </c>
      <c r="I410" s="5" t="n">
        <v>69255</v>
      </c>
      <c r="J410" s="69" t="n">
        <v>700245</v>
      </c>
      <c r="K410" s="69" t="n">
        <v>641250</v>
      </c>
      <c r="L410" s="69" t="n">
        <v>58995</v>
      </c>
      <c r="M410" s="1" t="n">
        <v>41640</v>
      </c>
      <c r="N410" t="n">
        <v>1</v>
      </c>
      <c r="O410" t="inlineStr">
        <is>
          <t xml:space="preserve"> January </t>
        </is>
      </c>
      <c r="P410" t="n">
        <v>2014</v>
      </c>
      <c r="Q410">
        <f>IF(Financials[[#This Row],[ Units_Sold ]]&lt;&gt;INT(Financials[[#This Row],[ Units_Sold ]]),1,0)</f>
        <v/>
      </c>
      <c r="R410" s="10">
        <f>Financials[[#This Row],[ Profit ]]/Financials[[#This Row],[  Sales ]]</f>
        <v/>
      </c>
      <c r="S410" s="2">
        <f>Financials[[#This Row],[ COGS ]]/Financials[[#This Row],[  Sales ]]</f>
        <v/>
      </c>
      <c r="T410" s="3">
        <f>Financials[[#This Row],[ Discounts ]]/Financials[[#This Row],[  Sales ]]</f>
        <v/>
      </c>
      <c r="U410">
        <f>Financials[[#This Row],[  Sales ]]/Financials[[#This Row],[ Units_Sold ]]</f>
        <v/>
      </c>
      <c r="V410">
        <f>Financials[[#This Row],[ Profit ]]/Financials[[#This Row],[ Units_Sold ]]</f>
        <v/>
      </c>
      <c r="W410">
        <f>IF(Financials[[#This Row],[ Profit ]]&lt;0,1,0)</f>
        <v/>
      </c>
    </row>
    <row r="411">
      <c r="A411" t="inlineStr">
        <is>
          <t>Government</t>
        </is>
      </c>
      <c r="B411" t="inlineStr">
        <is>
          <t>Mexico</t>
        </is>
      </c>
      <c r="C411" t="inlineStr">
        <is>
          <t xml:space="preserve"> Paseo </t>
        </is>
      </c>
      <c r="D411" t="inlineStr">
        <is>
          <t xml:space="preserve"> Medium </t>
        </is>
      </c>
      <c r="E411" t="n">
        <v>2417</v>
      </c>
      <c r="F411" s="69" t="n">
        <v>10</v>
      </c>
      <c r="G411" s="69" t="n">
        <v>350</v>
      </c>
      <c r="H411" s="69" t="n">
        <v>845950</v>
      </c>
      <c r="I411" s="5" t="n">
        <v>76135.5</v>
      </c>
      <c r="J411" s="69" t="n">
        <v>769814.5</v>
      </c>
      <c r="K411" s="69" t="n">
        <v>628420</v>
      </c>
      <c r="L411" s="69" t="n">
        <v>141394.5</v>
      </c>
      <c r="M411" s="1" t="n">
        <v>41640</v>
      </c>
      <c r="N411" t="n">
        <v>1</v>
      </c>
      <c r="O411" t="inlineStr">
        <is>
          <t xml:space="preserve"> January </t>
        </is>
      </c>
      <c r="P411" t="n">
        <v>2014</v>
      </c>
      <c r="Q411">
        <f>IF(Financials[[#This Row],[ Units_Sold ]]&lt;&gt;INT(Financials[[#This Row],[ Units_Sold ]]),1,0)</f>
        <v/>
      </c>
      <c r="R411" s="10">
        <f>Financials[[#This Row],[ Profit ]]/Financials[[#This Row],[  Sales ]]</f>
        <v/>
      </c>
      <c r="S411" s="2">
        <f>Financials[[#This Row],[ COGS ]]/Financials[[#This Row],[  Sales ]]</f>
        <v/>
      </c>
      <c r="T411" s="3">
        <f>Financials[[#This Row],[ Discounts ]]/Financials[[#This Row],[  Sales ]]</f>
        <v/>
      </c>
      <c r="U411">
        <f>Financials[[#This Row],[  Sales ]]/Financials[[#This Row],[ Units_Sold ]]</f>
        <v/>
      </c>
      <c r="V411">
        <f>Financials[[#This Row],[ Profit ]]/Financials[[#This Row],[ Units_Sold ]]</f>
        <v/>
      </c>
      <c r="W411">
        <f>IF(Financials[[#This Row],[ Profit ]]&lt;0,1,0)</f>
        <v/>
      </c>
    </row>
    <row r="412">
      <c r="A412" t="inlineStr">
        <is>
          <t>Midmarket</t>
        </is>
      </c>
      <c r="B412" t="inlineStr">
        <is>
          <t>United States of America</t>
        </is>
      </c>
      <c r="C412" t="inlineStr">
        <is>
          <t xml:space="preserve"> Paseo </t>
        </is>
      </c>
      <c r="D412" t="inlineStr">
        <is>
          <t xml:space="preserve"> Medium </t>
        </is>
      </c>
      <c r="E412" t="n">
        <v>3675</v>
      </c>
      <c r="F412" s="69" t="n">
        <v>10</v>
      </c>
      <c r="G412" s="69" t="n">
        <v>15</v>
      </c>
      <c r="H412" s="69" t="n">
        <v>55125</v>
      </c>
      <c r="I412" s="5" t="n">
        <v>4961.25</v>
      </c>
      <c r="J412" s="69" t="n">
        <v>50163.75</v>
      </c>
      <c r="K412" s="69" t="n">
        <v>36750</v>
      </c>
      <c r="L412" s="69" t="n">
        <v>13413.75</v>
      </c>
      <c r="M412" s="1" t="n">
        <v>41643</v>
      </c>
      <c r="N412" t="n">
        <v>4</v>
      </c>
      <c r="O412" t="inlineStr">
        <is>
          <t xml:space="preserve"> April </t>
        </is>
      </c>
      <c r="P412" t="n">
        <v>2014</v>
      </c>
      <c r="Q412">
        <f>IF(Financials[[#This Row],[ Units_Sold ]]&lt;&gt;INT(Financials[[#This Row],[ Units_Sold ]]),1,0)</f>
        <v/>
      </c>
      <c r="R412" s="10">
        <f>Financials[[#This Row],[ Profit ]]/Financials[[#This Row],[  Sales ]]</f>
        <v/>
      </c>
      <c r="S412" s="2">
        <f>Financials[[#This Row],[ COGS ]]/Financials[[#This Row],[  Sales ]]</f>
        <v/>
      </c>
      <c r="T412" s="3">
        <f>Financials[[#This Row],[ Discounts ]]/Financials[[#This Row],[  Sales ]]</f>
        <v/>
      </c>
      <c r="U412">
        <f>Financials[[#This Row],[  Sales ]]/Financials[[#This Row],[ Units_Sold ]]</f>
        <v/>
      </c>
      <c r="V412">
        <f>Financials[[#This Row],[ Profit ]]/Financials[[#This Row],[ Units_Sold ]]</f>
        <v/>
      </c>
      <c r="W412">
        <f>IF(Financials[[#This Row],[ Profit ]]&lt;0,1,0)</f>
        <v/>
      </c>
    </row>
    <row r="413">
      <c r="A413" t="inlineStr">
        <is>
          <t>Small Business</t>
        </is>
      </c>
      <c r="B413" t="inlineStr">
        <is>
          <t>Canada</t>
        </is>
      </c>
      <c r="C413" t="inlineStr">
        <is>
          <t xml:space="preserve"> Paseo </t>
        </is>
      </c>
      <c r="D413" t="inlineStr">
        <is>
          <t xml:space="preserve"> Medium </t>
        </is>
      </c>
      <c r="E413" t="n">
        <v>1094</v>
      </c>
      <c r="F413" s="69" t="n">
        <v>10</v>
      </c>
      <c r="G413" s="69" t="n">
        <v>300</v>
      </c>
      <c r="H413" s="69" t="n">
        <v>328200</v>
      </c>
      <c r="I413" s="5" t="n">
        <v>29538</v>
      </c>
      <c r="J413" s="69" t="n">
        <v>298662</v>
      </c>
      <c r="K413" s="69" t="n">
        <v>273500</v>
      </c>
      <c r="L413" s="69" t="n">
        <v>25162</v>
      </c>
      <c r="M413" s="1" t="n">
        <v>41645</v>
      </c>
      <c r="N413" t="n">
        <v>6</v>
      </c>
      <c r="O413" t="inlineStr">
        <is>
          <t xml:space="preserve"> June </t>
        </is>
      </c>
      <c r="P413" t="n">
        <v>2014</v>
      </c>
      <c r="Q413">
        <f>IF(Financials[[#This Row],[ Units_Sold ]]&lt;&gt;INT(Financials[[#This Row],[ Units_Sold ]]),1,0)</f>
        <v/>
      </c>
      <c r="R413" s="10">
        <f>Financials[[#This Row],[ Profit ]]/Financials[[#This Row],[  Sales ]]</f>
        <v/>
      </c>
      <c r="S413" s="2">
        <f>Financials[[#This Row],[ COGS ]]/Financials[[#This Row],[  Sales ]]</f>
        <v/>
      </c>
      <c r="T413" s="3">
        <f>Financials[[#This Row],[ Discounts ]]/Financials[[#This Row],[  Sales ]]</f>
        <v/>
      </c>
      <c r="U413">
        <f>Financials[[#This Row],[  Sales ]]/Financials[[#This Row],[ Units_Sold ]]</f>
        <v/>
      </c>
      <c r="V413">
        <f>Financials[[#This Row],[ Profit ]]/Financials[[#This Row],[ Units_Sold ]]</f>
        <v/>
      </c>
      <c r="W413">
        <f>IF(Financials[[#This Row],[ Profit ]]&lt;0,1,0)</f>
        <v/>
      </c>
    </row>
    <row r="414">
      <c r="A414" t="inlineStr">
        <is>
          <t>Midmarket</t>
        </is>
      </c>
      <c r="B414" t="inlineStr">
        <is>
          <t>France</t>
        </is>
      </c>
      <c r="C414" t="inlineStr">
        <is>
          <t xml:space="preserve"> Paseo </t>
        </is>
      </c>
      <c r="D414" t="inlineStr">
        <is>
          <t xml:space="preserve"> Medium </t>
        </is>
      </c>
      <c r="E414" t="n">
        <v>1227</v>
      </c>
      <c r="F414" s="69" t="n">
        <v>10</v>
      </c>
      <c r="G414" s="69" t="n">
        <v>15</v>
      </c>
      <c r="H414" s="69" t="n">
        <v>18405</v>
      </c>
      <c r="I414" s="5" t="n">
        <v>1656.45</v>
      </c>
      <c r="J414" s="69" t="n">
        <v>16748.55</v>
      </c>
      <c r="K414" s="69" t="n">
        <v>12270</v>
      </c>
      <c r="L414" s="69" t="n">
        <v>4478.55</v>
      </c>
      <c r="M414" s="1" t="n">
        <v>41649</v>
      </c>
      <c r="N414" t="n">
        <v>10</v>
      </c>
      <c r="O414" t="inlineStr">
        <is>
          <t xml:space="preserve"> October </t>
        </is>
      </c>
      <c r="P414" t="n">
        <v>2014</v>
      </c>
      <c r="Q414">
        <f>IF(Financials[[#This Row],[ Units_Sold ]]&lt;&gt;INT(Financials[[#This Row],[ Units_Sold ]]),1,0)</f>
        <v/>
      </c>
      <c r="R414" s="10">
        <f>Financials[[#This Row],[ Profit ]]/Financials[[#This Row],[  Sales ]]</f>
        <v/>
      </c>
      <c r="S414" s="2">
        <f>Financials[[#This Row],[ COGS ]]/Financials[[#This Row],[  Sales ]]</f>
        <v/>
      </c>
      <c r="T414" s="3">
        <f>Financials[[#This Row],[ Discounts ]]/Financials[[#This Row],[  Sales ]]</f>
        <v/>
      </c>
      <c r="U414">
        <f>Financials[[#This Row],[  Sales ]]/Financials[[#This Row],[ Units_Sold ]]</f>
        <v/>
      </c>
      <c r="V414">
        <f>Financials[[#This Row],[ Profit ]]/Financials[[#This Row],[ Units_Sold ]]</f>
        <v/>
      </c>
      <c r="W414">
        <f>IF(Financials[[#This Row],[ Profit ]]&lt;0,1,0)</f>
        <v/>
      </c>
    </row>
    <row r="415">
      <c r="A415" t="inlineStr">
        <is>
          <t>Channel Partners</t>
        </is>
      </c>
      <c r="B415" t="inlineStr">
        <is>
          <t>Mexico</t>
        </is>
      </c>
      <c r="C415" t="inlineStr">
        <is>
          <t xml:space="preserve"> Paseo </t>
        </is>
      </c>
      <c r="D415" t="inlineStr">
        <is>
          <t xml:space="preserve"> Medium </t>
        </is>
      </c>
      <c r="E415" t="n">
        <v>367</v>
      </c>
      <c r="F415" s="69" t="n">
        <v>10</v>
      </c>
      <c r="G415" s="69" t="n">
        <v>12</v>
      </c>
      <c r="H415" s="69" t="n">
        <v>4404</v>
      </c>
      <c r="I415" s="5" t="n">
        <v>396.36</v>
      </c>
      <c r="J415" s="69" t="n">
        <v>4007.64</v>
      </c>
      <c r="K415" s="69" t="n">
        <v>1101</v>
      </c>
      <c r="L415" s="69" t="n">
        <v>2906.64</v>
      </c>
      <c r="M415" s="1" t="n">
        <v>41284</v>
      </c>
      <c r="N415" t="n">
        <v>10</v>
      </c>
      <c r="O415" t="inlineStr">
        <is>
          <t xml:space="preserve"> October </t>
        </is>
      </c>
      <c r="P415" t="n">
        <v>2013</v>
      </c>
      <c r="Q415">
        <f>IF(Financials[[#This Row],[ Units_Sold ]]&lt;&gt;INT(Financials[[#This Row],[ Units_Sold ]]),1,0)</f>
        <v/>
      </c>
      <c r="R415" s="10">
        <f>Financials[[#This Row],[ Profit ]]/Financials[[#This Row],[  Sales ]]</f>
        <v/>
      </c>
      <c r="S415" s="2">
        <f>Financials[[#This Row],[ COGS ]]/Financials[[#This Row],[  Sales ]]</f>
        <v/>
      </c>
      <c r="T415" s="3">
        <f>Financials[[#This Row],[ Discounts ]]/Financials[[#This Row],[  Sales ]]</f>
        <v/>
      </c>
      <c r="U415">
        <f>Financials[[#This Row],[  Sales ]]/Financials[[#This Row],[ Units_Sold ]]</f>
        <v/>
      </c>
      <c r="V415">
        <f>Financials[[#This Row],[ Profit ]]/Financials[[#This Row],[ Units_Sold ]]</f>
        <v/>
      </c>
      <c r="W415">
        <f>IF(Financials[[#This Row],[ Profit ]]&lt;0,1,0)</f>
        <v/>
      </c>
    </row>
    <row r="416">
      <c r="A416" t="inlineStr">
        <is>
          <t>Small Business</t>
        </is>
      </c>
      <c r="B416" t="inlineStr">
        <is>
          <t>France</t>
        </is>
      </c>
      <c r="C416" t="inlineStr">
        <is>
          <t xml:space="preserve"> Paseo </t>
        </is>
      </c>
      <c r="D416" t="inlineStr">
        <is>
          <t xml:space="preserve"> Medium </t>
        </is>
      </c>
      <c r="E416" t="n">
        <v>1324</v>
      </c>
      <c r="F416" s="69" t="n">
        <v>10</v>
      </c>
      <c r="G416" s="69" t="n">
        <v>300</v>
      </c>
      <c r="H416" s="69" t="n">
        <v>397200</v>
      </c>
      <c r="I416" s="5" t="n">
        <v>35748</v>
      </c>
      <c r="J416" s="69" t="n">
        <v>361452</v>
      </c>
      <c r="K416" s="69" t="n">
        <v>331000</v>
      </c>
      <c r="L416" s="69" t="n">
        <v>30452</v>
      </c>
      <c r="M416" s="1" t="n">
        <v>41650</v>
      </c>
      <c r="N416" t="n">
        <v>11</v>
      </c>
      <c r="O416" t="inlineStr">
        <is>
          <t xml:space="preserve"> November </t>
        </is>
      </c>
      <c r="P416" t="n">
        <v>2014</v>
      </c>
      <c r="Q416">
        <f>IF(Financials[[#This Row],[ Units_Sold ]]&lt;&gt;INT(Financials[[#This Row],[ Units_Sold ]]),1,0)</f>
        <v/>
      </c>
      <c r="R416" s="10">
        <f>Financials[[#This Row],[ Profit ]]/Financials[[#This Row],[  Sales ]]</f>
        <v/>
      </c>
      <c r="S416" s="2">
        <f>Financials[[#This Row],[ COGS ]]/Financials[[#This Row],[  Sales ]]</f>
        <v/>
      </c>
      <c r="T416" s="3">
        <f>Financials[[#This Row],[ Discounts ]]/Financials[[#This Row],[  Sales ]]</f>
        <v/>
      </c>
      <c r="U416">
        <f>Financials[[#This Row],[  Sales ]]/Financials[[#This Row],[ Units_Sold ]]</f>
        <v/>
      </c>
      <c r="V416">
        <f>Financials[[#This Row],[ Profit ]]/Financials[[#This Row],[ Units_Sold ]]</f>
        <v/>
      </c>
      <c r="W416">
        <f>IF(Financials[[#This Row],[ Profit ]]&lt;0,1,0)</f>
        <v/>
      </c>
    </row>
    <row r="417">
      <c r="A417" t="inlineStr">
        <is>
          <t>Channel Partners</t>
        </is>
      </c>
      <c r="B417" t="inlineStr">
        <is>
          <t>Germany</t>
        </is>
      </c>
      <c r="C417" t="inlineStr">
        <is>
          <t xml:space="preserve"> Paseo </t>
        </is>
      </c>
      <c r="D417" t="inlineStr">
        <is>
          <t xml:space="preserve"> Medium </t>
        </is>
      </c>
      <c r="E417" t="n">
        <v>1775</v>
      </c>
      <c r="F417" s="69" t="n">
        <v>10</v>
      </c>
      <c r="G417" s="69" t="n">
        <v>12</v>
      </c>
      <c r="H417" s="69" t="n">
        <v>21300</v>
      </c>
      <c r="I417" s="5" t="n">
        <v>1917</v>
      </c>
      <c r="J417" s="69" t="n">
        <v>19383</v>
      </c>
      <c r="K417" s="69" t="n">
        <v>5325</v>
      </c>
      <c r="L417" s="69" t="n">
        <v>14058</v>
      </c>
      <c r="M417" s="1" t="n">
        <v>41285</v>
      </c>
      <c r="N417" t="n">
        <v>11</v>
      </c>
      <c r="O417" t="inlineStr">
        <is>
          <t xml:space="preserve"> November </t>
        </is>
      </c>
      <c r="P417" t="n">
        <v>2013</v>
      </c>
      <c r="Q417">
        <f>IF(Financials[[#This Row],[ Units_Sold ]]&lt;&gt;INT(Financials[[#This Row],[ Units_Sold ]]),1,0)</f>
        <v/>
      </c>
      <c r="R417" s="10">
        <f>Financials[[#This Row],[ Profit ]]/Financials[[#This Row],[  Sales ]]</f>
        <v/>
      </c>
      <c r="S417" s="2">
        <f>Financials[[#This Row],[ COGS ]]/Financials[[#This Row],[  Sales ]]</f>
        <v/>
      </c>
      <c r="T417" s="3">
        <f>Financials[[#This Row],[ Discounts ]]/Financials[[#This Row],[  Sales ]]</f>
        <v/>
      </c>
      <c r="U417">
        <f>Financials[[#This Row],[  Sales ]]/Financials[[#This Row],[ Units_Sold ]]</f>
        <v/>
      </c>
      <c r="V417">
        <f>Financials[[#This Row],[ Profit ]]/Financials[[#This Row],[ Units_Sold ]]</f>
        <v/>
      </c>
      <c r="W417">
        <f>IF(Financials[[#This Row],[ Profit ]]&lt;0,1,0)</f>
        <v/>
      </c>
    </row>
    <row r="418">
      <c r="A418" t="inlineStr">
        <is>
          <t>Enterprise</t>
        </is>
      </c>
      <c r="B418" t="inlineStr">
        <is>
          <t>United States of America</t>
        </is>
      </c>
      <c r="C418" t="inlineStr">
        <is>
          <t xml:space="preserve"> Paseo </t>
        </is>
      </c>
      <c r="D418" t="inlineStr">
        <is>
          <t xml:space="preserve"> Medium </t>
        </is>
      </c>
      <c r="E418" t="n">
        <v>2797</v>
      </c>
      <c r="F418" s="69" t="n">
        <v>10</v>
      </c>
      <c r="G418" s="69" t="n">
        <v>125</v>
      </c>
      <c r="H418" s="69" t="n">
        <v>349625</v>
      </c>
      <c r="I418" s="5" t="n">
        <v>31466.25</v>
      </c>
      <c r="J418" s="69" t="n">
        <v>318158.75</v>
      </c>
      <c r="K418" s="69" t="n">
        <v>335640</v>
      </c>
      <c r="L418" s="69" t="n">
        <v>-17481.25</v>
      </c>
      <c r="M418" s="1" t="n">
        <v>41651</v>
      </c>
      <c r="N418" t="n">
        <v>12</v>
      </c>
      <c r="O418" t="inlineStr">
        <is>
          <t xml:space="preserve"> December </t>
        </is>
      </c>
      <c r="P418" t="n">
        <v>2014</v>
      </c>
      <c r="Q418">
        <f>IF(Financials[[#This Row],[ Units_Sold ]]&lt;&gt;INT(Financials[[#This Row],[ Units_Sold ]]),1,0)</f>
        <v/>
      </c>
      <c r="R418" s="10">
        <f>Financials[[#This Row],[ Profit ]]/Financials[[#This Row],[  Sales ]]</f>
        <v/>
      </c>
      <c r="S418" s="2">
        <f>Financials[[#This Row],[ COGS ]]/Financials[[#This Row],[  Sales ]]</f>
        <v/>
      </c>
      <c r="T418" s="3">
        <f>Financials[[#This Row],[ Discounts ]]/Financials[[#This Row],[  Sales ]]</f>
        <v/>
      </c>
      <c r="U418">
        <f>Financials[[#This Row],[  Sales ]]/Financials[[#This Row],[ Units_Sold ]]</f>
        <v/>
      </c>
      <c r="V418">
        <f>Financials[[#This Row],[ Profit ]]/Financials[[#This Row],[ Units_Sold ]]</f>
        <v/>
      </c>
      <c r="W418">
        <f>IF(Financials[[#This Row],[ Profit ]]&lt;0,1,0)</f>
        <v/>
      </c>
    </row>
    <row r="419">
      <c r="A419" t="inlineStr">
        <is>
          <t>Midmarket</t>
        </is>
      </c>
      <c r="B419" t="inlineStr">
        <is>
          <t>Mexico</t>
        </is>
      </c>
      <c r="C419" t="inlineStr">
        <is>
          <t xml:space="preserve"> Velo </t>
        </is>
      </c>
      <c r="D419" t="inlineStr">
        <is>
          <t xml:space="preserve"> Medium </t>
        </is>
      </c>
      <c r="E419" t="n">
        <v>245</v>
      </c>
      <c r="F419" s="69" t="n">
        <v>120</v>
      </c>
      <c r="G419" s="69" t="n">
        <v>15</v>
      </c>
      <c r="H419" s="69" t="n">
        <v>3675</v>
      </c>
      <c r="I419" s="5" t="n">
        <v>330.75</v>
      </c>
      <c r="J419" s="69" t="n">
        <v>3344.25</v>
      </c>
      <c r="K419" s="69" t="n">
        <v>2450</v>
      </c>
      <c r="L419" s="69" t="n">
        <v>894.25</v>
      </c>
      <c r="M419" s="1" t="n">
        <v>41644</v>
      </c>
      <c r="N419" t="n">
        <v>5</v>
      </c>
      <c r="O419" t="inlineStr">
        <is>
          <t xml:space="preserve"> May </t>
        </is>
      </c>
      <c r="P419" t="n">
        <v>2014</v>
      </c>
      <c r="Q419">
        <f>IF(Financials[[#This Row],[ Units_Sold ]]&lt;&gt;INT(Financials[[#This Row],[ Units_Sold ]]),1,0)</f>
        <v/>
      </c>
      <c r="R419" s="10">
        <f>Financials[[#This Row],[ Profit ]]/Financials[[#This Row],[  Sales ]]</f>
        <v/>
      </c>
      <c r="S419" s="2">
        <f>Financials[[#This Row],[ COGS ]]/Financials[[#This Row],[  Sales ]]</f>
        <v/>
      </c>
      <c r="T419" s="3">
        <f>Financials[[#This Row],[ Discounts ]]/Financials[[#This Row],[  Sales ]]</f>
        <v/>
      </c>
      <c r="U419">
        <f>Financials[[#This Row],[  Sales ]]/Financials[[#This Row],[ Units_Sold ]]</f>
        <v/>
      </c>
      <c r="V419">
        <f>Financials[[#This Row],[ Profit ]]/Financials[[#This Row],[ Units_Sold ]]</f>
        <v/>
      </c>
      <c r="W419">
        <f>IF(Financials[[#This Row],[ Profit ]]&lt;0,1,0)</f>
        <v/>
      </c>
    </row>
    <row r="420">
      <c r="A420" t="inlineStr">
        <is>
          <t>Small Business</t>
        </is>
      </c>
      <c r="B420" t="inlineStr">
        <is>
          <t>Canada</t>
        </is>
      </c>
      <c r="C420" t="inlineStr">
        <is>
          <t xml:space="preserve"> Velo </t>
        </is>
      </c>
      <c r="D420" t="inlineStr">
        <is>
          <t xml:space="preserve"> Medium </t>
        </is>
      </c>
      <c r="E420" t="n">
        <v>3793.5</v>
      </c>
      <c r="F420" s="69" t="n">
        <v>120</v>
      </c>
      <c r="G420" s="69" t="n">
        <v>300</v>
      </c>
      <c r="H420" s="69" t="n">
        <v>1138050</v>
      </c>
      <c r="I420" s="5" t="n">
        <v>102424.5</v>
      </c>
      <c r="J420" s="69" t="n">
        <v>1035625.5</v>
      </c>
      <c r="K420" s="69" t="n">
        <v>948375</v>
      </c>
      <c r="L420" s="69" t="n">
        <v>87250.5</v>
      </c>
      <c r="M420" s="1" t="n">
        <v>41646</v>
      </c>
      <c r="N420" t="n">
        <v>7</v>
      </c>
      <c r="O420" t="inlineStr">
        <is>
          <t xml:space="preserve"> July </t>
        </is>
      </c>
      <c r="P420" t="n">
        <v>2014</v>
      </c>
      <c r="Q420">
        <f>IF(Financials[[#This Row],[ Units_Sold ]]&lt;&gt;INT(Financials[[#This Row],[ Units_Sold ]]),1,0)</f>
        <v/>
      </c>
      <c r="R420" s="10">
        <f>Financials[[#This Row],[ Profit ]]/Financials[[#This Row],[  Sales ]]</f>
        <v/>
      </c>
      <c r="S420" s="2">
        <f>Financials[[#This Row],[ COGS ]]/Financials[[#This Row],[  Sales ]]</f>
        <v/>
      </c>
      <c r="T420" s="3">
        <f>Financials[[#This Row],[ Discounts ]]/Financials[[#This Row],[  Sales ]]</f>
        <v/>
      </c>
      <c r="U420">
        <f>Financials[[#This Row],[  Sales ]]/Financials[[#This Row],[ Units_Sold ]]</f>
        <v/>
      </c>
      <c r="V420">
        <f>Financials[[#This Row],[ Profit ]]/Financials[[#This Row],[ Units_Sold ]]</f>
        <v/>
      </c>
      <c r="W420">
        <f>IF(Financials[[#This Row],[ Profit ]]&lt;0,1,0)</f>
        <v/>
      </c>
    </row>
    <row r="421">
      <c r="A421" t="inlineStr">
        <is>
          <t>Government</t>
        </is>
      </c>
      <c r="B421" t="inlineStr">
        <is>
          <t>Germany</t>
        </is>
      </c>
      <c r="C421" t="inlineStr">
        <is>
          <t xml:space="preserve"> Velo </t>
        </is>
      </c>
      <c r="D421" t="inlineStr">
        <is>
          <t xml:space="preserve"> Medium </t>
        </is>
      </c>
      <c r="E421" t="n">
        <v>1307</v>
      </c>
      <c r="F421" s="69" t="n">
        <v>120</v>
      </c>
      <c r="G421" s="69" t="n">
        <v>350</v>
      </c>
      <c r="H421" s="69" t="n">
        <v>457450</v>
      </c>
      <c r="I421" s="5" t="n">
        <v>41170.5</v>
      </c>
      <c r="J421" s="69" t="n">
        <v>416279.5</v>
      </c>
      <c r="K421" s="69" t="n">
        <v>339820</v>
      </c>
      <c r="L421" s="69" t="n">
        <v>76459.5</v>
      </c>
      <c r="M421" s="1" t="n">
        <v>41646</v>
      </c>
      <c r="N421" t="n">
        <v>7</v>
      </c>
      <c r="O421" t="inlineStr">
        <is>
          <t xml:space="preserve"> July </t>
        </is>
      </c>
      <c r="P421" t="n">
        <v>2014</v>
      </c>
      <c r="Q421">
        <f>IF(Financials[[#This Row],[ Units_Sold ]]&lt;&gt;INT(Financials[[#This Row],[ Units_Sold ]]),1,0)</f>
        <v/>
      </c>
      <c r="R421" s="10">
        <f>Financials[[#This Row],[ Profit ]]/Financials[[#This Row],[  Sales ]]</f>
        <v/>
      </c>
      <c r="S421" s="2">
        <f>Financials[[#This Row],[ COGS ]]/Financials[[#This Row],[  Sales ]]</f>
        <v/>
      </c>
      <c r="T421" s="3">
        <f>Financials[[#This Row],[ Discounts ]]/Financials[[#This Row],[  Sales ]]</f>
        <v/>
      </c>
      <c r="U421">
        <f>Financials[[#This Row],[  Sales ]]/Financials[[#This Row],[ Units_Sold ]]</f>
        <v/>
      </c>
      <c r="V421">
        <f>Financials[[#This Row],[ Profit ]]/Financials[[#This Row],[ Units_Sold ]]</f>
        <v/>
      </c>
      <c r="W421">
        <f>IF(Financials[[#This Row],[ Profit ]]&lt;0,1,0)</f>
        <v/>
      </c>
    </row>
    <row r="422">
      <c r="A422" t="inlineStr">
        <is>
          <t>Enterprise</t>
        </is>
      </c>
      <c r="B422" t="inlineStr">
        <is>
          <t>Canada</t>
        </is>
      </c>
      <c r="C422" t="inlineStr">
        <is>
          <t xml:space="preserve"> Velo </t>
        </is>
      </c>
      <c r="D422" t="inlineStr">
        <is>
          <t xml:space="preserve"> Medium </t>
        </is>
      </c>
      <c r="E422" t="n">
        <v>567</v>
      </c>
      <c r="F422" s="69" t="n">
        <v>120</v>
      </c>
      <c r="G422" s="69" t="n">
        <v>125</v>
      </c>
      <c r="H422" s="69" t="n">
        <v>70875</v>
      </c>
      <c r="I422" s="5" t="n">
        <v>6378.75</v>
      </c>
      <c r="J422" s="69" t="n">
        <v>64496.25</v>
      </c>
      <c r="K422" s="69" t="n">
        <v>68040</v>
      </c>
      <c r="L422" s="69" t="n">
        <v>-3543.75</v>
      </c>
      <c r="M422" s="1" t="n">
        <v>41648</v>
      </c>
      <c r="N422" t="n">
        <v>9</v>
      </c>
      <c r="O422" t="inlineStr">
        <is>
          <t xml:space="preserve"> September </t>
        </is>
      </c>
      <c r="P422" t="n">
        <v>2014</v>
      </c>
      <c r="Q422">
        <f>IF(Financials[[#This Row],[ Units_Sold ]]&lt;&gt;INT(Financials[[#This Row],[ Units_Sold ]]),1,0)</f>
        <v/>
      </c>
      <c r="R422" s="10">
        <f>Financials[[#This Row],[ Profit ]]/Financials[[#This Row],[  Sales ]]</f>
        <v/>
      </c>
      <c r="S422" s="2">
        <f>Financials[[#This Row],[ COGS ]]/Financials[[#This Row],[  Sales ]]</f>
        <v/>
      </c>
      <c r="T422" s="3">
        <f>Financials[[#This Row],[ Discounts ]]/Financials[[#This Row],[  Sales ]]</f>
        <v/>
      </c>
      <c r="U422">
        <f>Financials[[#This Row],[  Sales ]]/Financials[[#This Row],[ Units_Sold ]]</f>
        <v/>
      </c>
      <c r="V422">
        <f>Financials[[#This Row],[ Profit ]]/Financials[[#This Row],[ Units_Sold ]]</f>
        <v/>
      </c>
      <c r="W422">
        <f>IF(Financials[[#This Row],[ Profit ]]&lt;0,1,0)</f>
        <v/>
      </c>
    </row>
    <row r="423">
      <c r="A423" t="inlineStr">
        <is>
          <t>Enterprise</t>
        </is>
      </c>
      <c r="B423" t="inlineStr">
        <is>
          <t>Mexico</t>
        </is>
      </c>
      <c r="C423" t="inlineStr">
        <is>
          <t xml:space="preserve"> Velo </t>
        </is>
      </c>
      <c r="D423" t="inlineStr">
        <is>
          <t xml:space="preserve"> Medium </t>
        </is>
      </c>
      <c r="E423" t="n">
        <v>2110</v>
      </c>
      <c r="F423" s="69" t="n">
        <v>120</v>
      </c>
      <c r="G423" s="69" t="n">
        <v>125</v>
      </c>
      <c r="H423" s="69" t="n">
        <v>263750</v>
      </c>
      <c r="I423" s="5" t="n">
        <v>23737.5</v>
      </c>
      <c r="J423" s="69" t="n">
        <v>240012.5</v>
      </c>
      <c r="K423" s="69" t="n">
        <v>253200</v>
      </c>
      <c r="L423" s="69" t="n">
        <v>-13187.5</v>
      </c>
      <c r="M423" s="1" t="n">
        <v>41648</v>
      </c>
      <c r="N423" t="n">
        <v>9</v>
      </c>
      <c r="O423" t="inlineStr">
        <is>
          <t xml:space="preserve"> September </t>
        </is>
      </c>
      <c r="P423" t="n">
        <v>2014</v>
      </c>
      <c r="Q423">
        <f>IF(Financials[[#This Row],[ Units_Sold ]]&lt;&gt;INT(Financials[[#This Row],[ Units_Sold ]]),1,0)</f>
        <v/>
      </c>
      <c r="R423" s="10">
        <f>Financials[[#This Row],[ Profit ]]/Financials[[#This Row],[  Sales ]]</f>
        <v/>
      </c>
      <c r="S423" s="2">
        <f>Financials[[#This Row],[ COGS ]]/Financials[[#This Row],[  Sales ]]</f>
        <v/>
      </c>
      <c r="T423" s="3">
        <f>Financials[[#This Row],[ Discounts ]]/Financials[[#This Row],[  Sales ]]</f>
        <v/>
      </c>
      <c r="U423">
        <f>Financials[[#This Row],[  Sales ]]/Financials[[#This Row],[ Units_Sold ]]</f>
        <v/>
      </c>
      <c r="V423">
        <f>Financials[[#This Row],[ Profit ]]/Financials[[#This Row],[ Units_Sold ]]</f>
        <v/>
      </c>
      <c r="W423">
        <f>IF(Financials[[#This Row],[ Profit ]]&lt;0,1,0)</f>
        <v/>
      </c>
    </row>
    <row r="424">
      <c r="A424" t="inlineStr">
        <is>
          <t>Government</t>
        </is>
      </c>
      <c r="B424" t="inlineStr">
        <is>
          <t>Canada</t>
        </is>
      </c>
      <c r="C424" t="inlineStr">
        <is>
          <t xml:space="preserve"> Velo </t>
        </is>
      </c>
      <c r="D424" t="inlineStr">
        <is>
          <t xml:space="preserve"> Medium </t>
        </is>
      </c>
      <c r="E424" t="n">
        <v>1269</v>
      </c>
      <c r="F424" s="69" t="n">
        <v>120</v>
      </c>
      <c r="G424" s="69" t="n">
        <v>350</v>
      </c>
      <c r="H424" s="69" t="n">
        <v>444150</v>
      </c>
      <c r="I424" s="5" t="n">
        <v>39973.5</v>
      </c>
      <c r="J424" s="69" t="n">
        <v>404176.5</v>
      </c>
      <c r="K424" s="69" t="n">
        <v>329940</v>
      </c>
      <c r="L424" s="69" t="n">
        <v>74236.5</v>
      </c>
      <c r="M424" s="1" t="n">
        <v>41649</v>
      </c>
      <c r="N424" t="n">
        <v>10</v>
      </c>
      <c r="O424" t="inlineStr">
        <is>
          <t xml:space="preserve"> October </t>
        </is>
      </c>
      <c r="P424" t="n">
        <v>2014</v>
      </c>
      <c r="Q424">
        <f>IF(Financials[[#This Row],[ Units_Sold ]]&lt;&gt;INT(Financials[[#This Row],[ Units_Sold ]]),1,0)</f>
        <v/>
      </c>
      <c r="R424" s="10">
        <f>Financials[[#This Row],[ Profit ]]/Financials[[#This Row],[  Sales ]]</f>
        <v/>
      </c>
      <c r="S424" s="2">
        <f>Financials[[#This Row],[ COGS ]]/Financials[[#This Row],[  Sales ]]</f>
        <v/>
      </c>
      <c r="T424" s="3">
        <f>Financials[[#This Row],[ Discounts ]]/Financials[[#This Row],[  Sales ]]</f>
        <v/>
      </c>
      <c r="U424">
        <f>Financials[[#This Row],[  Sales ]]/Financials[[#This Row],[ Units_Sold ]]</f>
        <v/>
      </c>
      <c r="V424">
        <f>Financials[[#This Row],[ Profit ]]/Financials[[#This Row],[ Units_Sold ]]</f>
        <v/>
      </c>
      <c r="W424">
        <f>IF(Financials[[#This Row],[ Profit ]]&lt;0,1,0)</f>
        <v/>
      </c>
    </row>
    <row r="425">
      <c r="A425" t="inlineStr">
        <is>
          <t>Channel Partners</t>
        </is>
      </c>
      <c r="B425" t="inlineStr">
        <is>
          <t>United States of America</t>
        </is>
      </c>
      <c r="C425" t="inlineStr">
        <is>
          <t xml:space="preserve"> VTT </t>
        </is>
      </c>
      <c r="D425" t="inlineStr">
        <is>
          <t xml:space="preserve"> Medium </t>
        </is>
      </c>
      <c r="E425" t="n">
        <v>1956</v>
      </c>
      <c r="F425" s="69" t="n">
        <v>250</v>
      </c>
      <c r="G425" s="69" t="n">
        <v>12</v>
      </c>
      <c r="H425" s="69" t="n">
        <v>23472</v>
      </c>
      <c r="I425" s="5" t="n">
        <v>2112.48</v>
      </c>
      <c r="J425" s="69" t="n">
        <v>21359.52</v>
      </c>
      <c r="K425" s="69" t="n">
        <v>5868</v>
      </c>
      <c r="L425" s="69" t="n">
        <v>15491.52</v>
      </c>
      <c r="M425" s="1" t="n">
        <v>41640</v>
      </c>
      <c r="N425" t="n">
        <v>1</v>
      </c>
      <c r="O425" t="inlineStr">
        <is>
          <t xml:space="preserve"> January </t>
        </is>
      </c>
      <c r="P425" t="n">
        <v>2014</v>
      </c>
      <c r="Q425">
        <f>IF(Financials[[#This Row],[ Units_Sold ]]&lt;&gt;INT(Financials[[#This Row],[ Units_Sold ]]),1,0)</f>
        <v/>
      </c>
      <c r="R425" s="10">
        <f>Financials[[#This Row],[ Profit ]]/Financials[[#This Row],[  Sales ]]</f>
        <v/>
      </c>
      <c r="S425" s="2">
        <f>Financials[[#This Row],[ COGS ]]/Financials[[#This Row],[  Sales ]]</f>
        <v/>
      </c>
      <c r="T425" s="3">
        <f>Financials[[#This Row],[ Discounts ]]/Financials[[#This Row],[  Sales ]]</f>
        <v/>
      </c>
      <c r="U425">
        <f>Financials[[#This Row],[  Sales ]]/Financials[[#This Row],[ Units_Sold ]]</f>
        <v/>
      </c>
      <c r="V425">
        <f>Financials[[#This Row],[ Profit ]]/Financials[[#This Row],[ Units_Sold ]]</f>
        <v/>
      </c>
      <c r="W425">
        <f>IF(Financials[[#This Row],[ Profit ]]&lt;0,1,0)</f>
        <v/>
      </c>
    </row>
    <row r="426">
      <c r="A426" t="inlineStr">
        <is>
          <t>Small Business</t>
        </is>
      </c>
      <c r="B426" t="inlineStr">
        <is>
          <t>Germany</t>
        </is>
      </c>
      <c r="C426" t="inlineStr">
        <is>
          <t xml:space="preserve"> VTT </t>
        </is>
      </c>
      <c r="D426" t="inlineStr">
        <is>
          <t xml:space="preserve"> Medium </t>
        </is>
      </c>
      <c r="E426" t="n">
        <v>2659</v>
      </c>
      <c r="F426" s="69" t="n">
        <v>250</v>
      </c>
      <c r="G426" s="69" t="n">
        <v>300</v>
      </c>
      <c r="H426" s="69" t="n">
        <v>797700</v>
      </c>
      <c r="I426" s="5" t="n">
        <v>71793</v>
      </c>
      <c r="J426" s="69" t="n">
        <v>725907</v>
      </c>
      <c r="K426" s="69" t="n">
        <v>664750</v>
      </c>
      <c r="L426" s="69" t="n">
        <v>61157</v>
      </c>
      <c r="M426" s="1" t="n">
        <v>41641</v>
      </c>
      <c r="N426" t="n">
        <v>2</v>
      </c>
      <c r="O426" t="inlineStr">
        <is>
          <t xml:space="preserve"> February </t>
        </is>
      </c>
      <c r="P426" t="n">
        <v>2014</v>
      </c>
      <c r="Q426">
        <f>IF(Financials[[#This Row],[ Units_Sold ]]&lt;&gt;INT(Financials[[#This Row],[ Units_Sold ]]),1,0)</f>
        <v/>
      </c>
      <c r="R426" s="10">
        <f>Financials[[#This Row],[ Profit ]]/Financials[[#This Row],[  Sales ]]</f>
        <v/>
      </c>
      <c r="S426" s="2">
        <f>Financials[[#This Row],[ COGS ]]/Financials[[#This Row],[  Sales ]]</f>
        <v/>
      </c>
      <c r="T426" s="3">
        <f>Financials[[#This Row],[ Discounts ]]/Financials[[#This Row],[  Sales ]]</f>
        <v/>
      </c>
      <c r="U426">
        <f>Financials[[#This Row],[  Sales ]]/Financials[[#This Row],[ Units_Sold ]]</f>
        <v/>
      </c>
      <c r="V426">
        <f>Financials[[#This Row],[ Profit ]]/Financials[[#This Row],[ Units_Sold ]]</f>
        <v/>
      </c>
      <c r="W426">
        <f>IF(Financials[[#This Row],[ Profit ]]&lt;0,1,0)</f>
        <v/>
      </c>
    </row>
    <row r="427">
      <c r="A427" t="inlineStr">
        <is>
          <t>Government</t>
        </is>
      </c>
      <c r="B427" t="inlineStr">
        <is>
          <t>United States of America</t>
        </is>
      </c>
      <c r="C427" t="inlineStr">
        <is>
          <t xml:space="preserve"> VTT </t>
        </is>
      </c>
      <c r="D427" t="inlineStr">
        <is>
          <t xml:space="preserve"> Medium </t>
        </is>
      </c>
      <c r="E427" t="n">
        <v>1351.5</v>
      </c>
      <c r="F427" s="69" t="n">
        <v>250</v>
      </c>
      <c r="G427" s="69" t="n">
        <v>350</v>
      </c>
      <c r="H427" s="69" t="n">
        <v>473025</v>
      </c>
      <c r="I427" s="5" t="n">
        <v>42572.25</v>
      </c>
      <c r="J427" s="69" t="n">
        <v>430452.75</v>
      </c>
      <c r="K427" s="69" t="n">
        <v>351390</v>
      </c>
      <c r="L427" s="69" t="n">
        <v>79062.75</v>
      </c>
      <c r="M427" s="1" t="n">
        <v>41643</v>
      </c>
      <c r="N427" t="n">
        <v>4</v>
      </c>
      <c r="O427" t="inlineStr">
        <is>
          <t xml:space="preserve"> April </t>
        </is>
      </c>
      <c r="P427" t="n">
        <v>2014</v>
      </c>
      <c r="Q427">
        <f>IF(Financials[[#This Row],[ Units_Sold ]]&lt;&gt;INT(Financials[[#This Row],[ Units_Sold ]]),1,0)</f>
        <v/>
      </c>
      <c r="R427" s="10">
        <f>Financials[[#This Row],[ Profit ]]/Financials[[#This Row],[  Sales ]]</f>
        <v/>
      </c>
      <c r="S427" s="2">
        <f>Financials[[#This Row],[ COGS ]]/Financials[[#This Row],[  Sales ]]</f>
        <v/>
      </c>
      <c r="T427" s="3">
        <f>Financials[[#This Row],[ Discounts ]]/Financials[[#This Row],[  Sales ]]</f>
        <v/>
      </c>
      <c r="U427">
        <f>Financials[[#This Row],[  Sales ]]/Financials[[#This Row],[ Units_Sold ]]</f>
        <v/>
      </c>
      <c r="V427">
        <f>Financials[[#This Row],[ Profit ]]/Financials[[#This Row],[ Units_Sold ]]</f>
        <v/>
      </c>
      <c r="W427">
        <f>IF(Financials[[#This Row],[ Profit ]]&lt;0,1,0)</f>
        <v/>
      </c>
    </row>
    <row r="428">
      <c r="A428" t="inlineStr">
        <is>
          <t>Channel Partners</t>
        </is>
      </c>
      <c r="B428" t="inlineStr">
        <is>
          <t>Germany</t>
        </is>
      </c>
      <c r="C428" t="inlineStr">
        <is>
          <t xml:space="preserve"> VTT </t>
        </is>
      </c>
      <c r="D428" t="inlineStr">
        <is>
          <t xml:space="preserve"> Medium </t>
        </is>
      </c>
      <c r="E428" t="n">
        <v>880</v>
      </c>
      <c r="F428" s="69" t="n">
        <v>250</v>
      </c>
      <c r="G428" s="69" t="n">
        <v>12</v>
      </c>
      <c r="H428" s="69" t="n">
        <v>10560</v>
      </c>
      <c r="I428" s="5" t="n">
        <v>950.4</v>
      </c>
      <c r="J428" s="69" t="n">
        <v>9609.6</v>
      </c>
      <c r="K428" s="69" t="n">
        <v>2640</v>
      </c>
      <c r="L428" s="69" t="n">
        <v>6969.6</v>
      </c>
      <c r="M428" s="1" t="n">
        <v>41644</v>
      </c>
      <c r="N428" t="n">
        <v>5</v>
      </c>
      <c r="O428" t="inlineStr">
        <is>
          <t xml:space="preserve"> May </t>
        </is>
      </c>
      <c r="P428" t="n">
        <v>2014</v>
      </c>
      <c r="Q428">
        <f>IF(Financials[[#This Row],[ Units_Sold ]]&lt;&gt;INT(Financials[[#This Row],[ Units_Sold ]]),1,0)</f>
        <v/>
      </c>
      <c r="R428" s="10">
        <f>Financials[[#This Row],[ Profit ]]/Financials[[#This Row],[  Sales ]]</f>
        <v/>
      </c>
      <c r="S428" s="2">
        <f>Financials[[#This Row],[ COGS ]]/Financials[[#This Row],[  Sales ]]</f>
        <v/>
      </c>
      <c r="T428" s="3">
        <f>Financials[[#This Row],[ Discounts ]]/Financials[[#This Row],[  Sales ]]</f>
        <v/>
      </c>
      <c r="U428">
        <f>Financials[[#This Row],[  Sales ]]/Financials[[#This Row],[ Units_Sold ]]</f>
        <v/>
      </c>
      <c r="V428">
        <f>Financials[[#This Row],[ Profit ]]/Financials[[#This Row],[ Units_Sold ]]</f>
        <v/>
      </c>
      <c r="W428">
        <f>IF(Financials[[#This Row],[ Profit ]]&lt;0,1,0)</f>
        <v/>
      </c>
    </row>
    <row r="429">
      <c r="A429" t="inlineStr">
        <is>
          <t>Small Business</t>
        </is>
      </c>
      <c r="B429" t="inlineStr">
        <is>
          <t>United States of America</t>
        </is>
      </c>
      <c r="C429" t="inlineStr">
        <is>
          <t xml:space="preserve"> VTT </t>
        </is>
      </c>
      <c r="D429" t="inlineStr">
        <is>
          <t xml:space="preserve"> Medium </t>
        </is>
      </c>
      <c r="E429" t="n">
        <v>1867</v>
      </c>
      <c r="F429" s="69" t="n">
        <v>250</v>
      </c>
      <c r="G429" s="69" t="n">
        <v>300</v>
      </c>
      <c r="H429" s="69" t="n">
        <v>560100</v>
      </c>
      <c r="I429" s="5" t="n">
        <v>50409</v>
      </c>
      <c r="J429" s="69" t="n">
        <v>509691</v>
      </c>
      <c r="K429" s="69" t="n">
        <v>466750</v>
      </c>
      <c r="L429" s="69" t="n">
        <v>42941</v>
      </c>
      <c r="M429" s="1" t="n">
        <v>41648</v>
      </c>
      <c r="N429" t="n">
        <v>9</v>
      </c>
      <c r="O429" t="inlineStr">
        <is>
          <t xml:space="preserve"> September </t>
        </is>
      </c>
      <c r="P429" t="n">
        <v>2014</v>
      </c>
      <c r="Q429">
        <f>IF(Financials[[#This Row],[ Units_Sold ]]&lt;&gt;INT(Financials[[#This Row],[ Units_Sold ]]),1,0)</f>
        <v/>
      </c>
      <c r="R429" s="10">
        <f>Financials[[#This Row],[ Profit ]]/Financials[[#This Row],[  Sales ]]</f>
        <v/>
      </c>
      <c r="S429" s="2">
        <f>Financials[[#This Row],[ COGS ]]/Financials[[#This Row],[  Sales ]]</f>
        <v/>
      </c>
      <c r="T429" s="3">
        <f>Financials[[#This Row],[ Discounts ]]/Financials[[#This Row],[  Sales ]]</f>
        <v/>
      </c>
      <c r="U429">
        <f>Financials[[#This Row],[  Sales ]]/Financials[[#This Row],[ Units_Sold ]]</f>
        <v/>
      </c>
      <c r="V429">
        <f>Financials[[#This Row],[ Profit ]]/Financials[[#This Row],[ Units_Sold ]]</f>
        <v/>
      </c>
      <c r="W429">
        <f>IF(Financials[[#This Row],[ Profit ]]&lt;0,1,0)</f>
        <v/>
      </c>
    </row>
    <row r="430">
      <c r="A430" t="inlineStr">
        <is>
          <t>Channel Partners</t>
        </is>
      </c>
      <c r="B430" t="inlineStr">
        <is>
          <t>France</t>
        </is>
      </c>
      <c r="C430" t="inlineStr">
        <is>
          <t xml:space="preserve"> VTT </t>
        </is>
      </c>
      <c r="D430" t="inlineStr">
        <is>
          <t xml:space="preserve"> Medium </t>
        </is>
      </c>
      <c r="E430" t="n">
        <v>2234</v>
      </c>
      <c r="F430" s="69" t="n">
        <v>250</v>
      </c>
      <c r="G430" s="69" t="n">
        <v>12</v>
      </c>
      <c r="H430" s="69" t="n">
        <v>26808</v>
      </c>
      <c r="I430" s="5" t="n">
        <v>2412.72</v>
      </c>
      <c r="J430" s="69" t="n">
        <v>24395.28</v>
      </c>
      <c r="K430" s="69" t="n">
        <v>6702</v>
      </c>
      <c r="L430" s="69" t="n">
        <v>17693.28</v>
      </c>
      <c r="M430" s="1" t="n">
        <v>41283</v>
      </c>
      <c r="N430" t="n">
        <v>9</v>
      </c>
      <c r="O430" t="inlineStr">
        <is>
          <t xml:space="preserve"> September </t>
        </is>
      </c>
      <c r="P430" t="n">
        <v>2013</v>
      </c>
      <c r="Q430">
        <f>IF(Financials[[#This Row],[ Units_Sold ]]&lt;&gt;INT(Financials[[#This Row],[ Units_Sold ]]),1,0)</f>
        <v/>
      </c>
      <c r="R430" s="10">
        <f>Financials[[#This Row],[ Profit ]]/Financials[[#This Row],[  Sales ]]</f>
        <v/>
      </c>
      <c r="S430" s="2">
        <f>Financials[[#This Row],[ COGS ]]/Financials[[#This Row],[  Sales ]]</f>
        <v/>
      </c>
      <c r="T430" s="3">
        <f>Financials[[#This Row],[ Discounts ]]/Financials[[#This Row],[  Sales ]]</f>
        <v/>
      </c>
      <c r="U430">
        <f>Financials[[#This Row],[  Sales ]]/Financials[[#This Row],[ Units_Sold ]]</f>
        <v/>
      </c>
      <c r="V430">
        <f>Financials[[#This Row],[ Profit ]]/Financials[[#This Row],[ Units_Sold ]]</f>
        <v/>
      </c>
      <c r="W430">
        <f>IF(Financials[[#This Row],[ Profit ]]&lt;0,1,0)</f>
        <v/>
      </c>
    </row>
    <row r="431">
      <c r="A431" t="inlineStr">
        <is>
          <t>Midmarket</t>
        </is>
      </c>
      <c r="B431" t="inlineStr">
        <is>
          <t>France</t>
        </is>
      </c>
      <c r="C431" t="inlineStr">
        <is>
          <t xml:space="preserve"> VTT </t>
        </is>
      </c>
      <c r="D431" t="inlineStr">
        <is>
          <t xml:space="preserve"> Medium </t>
        </is>
      </c>
      <c r="E431" t="n">
        <v>1227</v>
      </c>
      <c r="F431" s="69" t="n">
        <v>250</v>
      </c>
      <c r="G431" s="69" t="n">
        <v>15</v>
      </c>
      <c r="H431" s="69" t="n">
        <v>18405</v>
      </c>
      <c r="I431" s="5" t="n">
        <v>1656.45</v>
      </c>
      <c r="J431" s="69" t="n">
        <v>16748.55</v>
      </c>
      <c r="K431" s="69" t="n">
        <v>12270</v>
      </c>
      <c r="L431" s="69" t="n">
        <v>4478.55</v>
      </c>
      <c r="M431" s="1" t="n">
        <v>41649</v>
      </c>
      <c r="N431" t="n">
        <v>10</v>
      </c>
      <c r="O431" t="inlineStr">
        <is>
          <t xml:space="preserve"> October </t>
        </is>
      </c>
      <c r="P431" t="n">
        <v>2014</v>
      </c>
      <c r="Q431">
        <f>IF(Financials[[#This Row],[ Units_Sold ]]&lt;&gt;INT(Financials[[#This Row],[ Units_Sold ]]),1,0)</f>
        <v/>
      </c>
      <c r="R431" s="10">
        <f>Financials[[#This Row],[ Profit ]]/Financials[[#This Row],[  Sales ]]</f>
        <v/>
      </c>
      <c r="S431" s="2">
        <f>Financials[[#This Row],[ COGS ]]/Financials[[#This Row],[  Sales ]]</f>
        <v/>
      </c>
      <c r="T431" s="3">
        <f>Financials[[#This Row],[ Discounts ]]/Financials[[#This Row],[  Sales ]]</f>
        <v/>
      </c>
      <c r="U431">
        <f>Financials[[#This Row],[  Sales ]]/Financials[[#This Row],[ Units_Sold ]]</f>
        <v/>
      </c>
      <c r="V431">
        <f>Financials[[#This Row],[ Profit ]]/Financials[[#This Row],[ Units_Sold ]]</f>
        <v/>
      </c>
      <c r="W431">
        <f>IF(Financials[[#This Row],[ Profit ]]&lt;0,1,0)</f>
        <v/>
      </c>
    </row>
    <row r="432">
      <c r="A432" t="inlineStr">
        <is>
          <t>Enterprise</t>
        </is>
      </c>
      <c r="B432" t="inlineStr">
        <is>
          <t>Mexico</t>
        </is>
      </c>
      <c r="C432" t="inlineStr">
        <is>
          <t xml:space="preserve"> VTT </t>
        </is>
      </c>
      <c r="D432" t="inlineStr">
        <is>
          <t xml:space="preserve"> Medium </t>
        </is>
      </c>
      <c r="E432" t="n">
        <v>877</v>
      </c>
      <c r="F432" s="69" t="n">
        <v>250</v>
      </c>
      <c r="G432" s="69" t="n">
        <v>125</v>
      </c>
      <c r="H432" s="69" t="n">
        <v>109625</v>
      </c>
      <c r="I432" s="5" t="n">
        <v>9866.25</v>
      </c>
      <c r="J432" s="69" t="n">
        <v>99758.75</v>
      </c>
      <c r="K432" s="69" t="n">
        <v>105240</v>
      </c>
      <c r="L432" s="69" t="n">
        <v>-5481.25</v>
      </c>
      <c r="M432" s="1" t="n">
        <v>41650</v>
      </c>
      <c r="N432" t="n">
        <v>11</v>
      </c>
      <c r="O432" t="inlineStr">
        <is>
          <t xml:space="preserve"> November </t>
        </is>
      </c>
      <c r="P432" t="n">
        <v>2014</v>
      </c>
      <c r="Q432">
        <f>IF(Financials[[#This Row],[ Units_Sold ]]&lt;&gt;INT(Financials[[#This Row],[ Units_Sold ]]),1,0)</f>
        <v/>
      </c>
      <c r="R432" s="10">
        <f>Financials[[#This Row],[ Profit ]]/Financials[[#This Row],[  Sales ]]</f>
        <v/>
      </c>
      <c r="S432" s="2">
        <f>Financials[[#This Row],[ COGS ]]/Financials[[#This Row],[  Sales ]]</f>
        <v/>
      </c>
      <c r="T432" s="3">
        <f>Financials[[#This Row],[ Discounts ]]/Financials[[#This Row],[  Sales ]]</f>
        <v/>
      </c>
      <c r="U432">
        <f>Financials[[#This Row],[  Sales ]]/Financials[[#This Row],[ Units_Sold ]]</f>
        <v/>
      </c>
      <c r="V432">
        <f>Financials[[#This Row],[ Profit ]]/Financials[[#This Row],[ Units_Sold ]]</f>
        <v/>
      </c>
      <c r="W432">
        <f>IF(Financials[[#This Row],[ Profit ]]&lt;0,1,0)</f>
        <v/>
      </c>
    </row>
    <row r="433">
      <c r="A433" t="inlineStr">
        <is>
          <t>Government</t>
        </is>
      </c>
      <c r="B433" t="inlineStr">
        <is>
          <t>United States of America</t>
        </is>
      </c>
      <c r="C433" t="inlineStr">
        <is>
          <t xml:space="preserve"> Amarilla </t>
        </is>
      </c>
      <c r="D433" t="inlineStr">
        <is>
          <t xml:space="preserve"> Medium </t>
        </is>
      </c>
      <c r="E433" t="n">
        <v>2071</v>
      </c>
      <c r="F433" s="69" t="n">
        <v>260</v>
      </c>
      <c r="G433" s="69" t="n">
        <v>350</v>
      </c>
      <c r="H433" s="69" t="n">
        <v>724850</v>
      </c>
      <c r="I433" s="5" t="n">
        <v>65236.5</v>
      </c>
      <c r="J433" s="69" t="n">
        <v>659613.5</v>
      </c>
      <c r="K433" s="69" t="n">
        <v>538460</v>
      </c>
      <c r="L433" s="69" t="n">
        <v>121153.5</v>
      </c>
      <c r="M433" s="1" t="n">
        <v>41648</v>
      </c>
      <c r="N433" t="n">
        <v>9</v>
      </c>
      <c r="O433" t="inlineStr">
        <is>
          <t xml:space="preserve"> September </t>
        </is>
      </c>
      <c r="P433" t="n">
        <v>2014</v>
      </c>
      <c r="Q433">
        <f>IF(Financials[[#This Row],[ Units_Sold ]]&lt;&gt;INT(Financials[[#This Row],[ Units_Sold ]]),1,0)</f>
        <v/>
      </c>
      <c r="R433" s="10">
        <f>Financials[[#This Row],[ Profit ]]/Financials[[#This Row],[  Sales ]]</f>
        <v/>
      </c>
      <c r="S433" s="2">
        <f>Financials[[#This Row],[ COGS ]]/Financials[[#This Row],[  Sales ]]</f>
        <v/>
      </c>
      <c r="T433" s="3">
        <f>Financials[[#This Row],[ Discounts ]]/Financials[[#This Row],[  Sales ]]</f>
        <v/>
      </c>
      <c r="U433">
        <f>Financials[[#This Row],[  Sales ]]/Financials[[#This Row],[ Units_Sold ]]</f>
        <v/>
      </c>
      <c r="V433">
        <f>Financials[[#This Row],[ Profit ]]/Financials[[#This Row],[ Units_Sold ]]</f>
        <v/>
      </c>
      <c r="W433">
        <f>IF(Financials[[#This Row],[ Profit ]]&lt;0,1,0)</f>
        <v/>
      </c>
    </row>
    <row r="434">
      <c r="A434" t="inlineStr">
        <is>
          <t>Government</t>
        </is>
      </c>
      <c r="B434" t="inlineStr">
        <is>
          <t>Canada</t>
        </is>
      </c>
      <c r="C434" t="inlineStr">
        <is>
          <t xml:space="preserve"> Amarilla </t>
        </is>
      </c>
      <c r="D434" t="inlineStr">
        <is>
          <t xml:space="preserve"> Medium </t>
        </is>
      </c>
      <c r="E434" t="n">
        <v>1269</v>
      </c>
      <c r="F434" s="69" t="n">
        <v>260</v>
      </c>
      <c r="G434" s="69" t="n">
        <v>350</v>
      </c>
      <c r="H434" s="69" t="n">
        <v>444150</v>
      </c>
      <c r="I434" s="5" t="n">
        <v>39973.5</v>
      </c>
      <c r="J434" s="69" t="n">
        <v>404176.5</v>
      </c>
      <c r="K434" s="69" t="n">
        <v>329940</v>
      </c>
      <c r="L434" s="69" t="n">
        <v>74236.5</v>
      </c>
      <c r="M434" s="1" t="n">
        <v>41649</v>
      </c>
      <c r="N434" t="n">
        <v>10</v>
      </c>
      <c r="O434" t="inlineStr">
        <is>
          <t xml:space="preserve"> October </t>
        </is>
      </c>
      <c r="P434" t="n">
        <v>2014</v>
      </c>
      <c r="Q434">
        <f>IF(Financials[[#This Row],[ Units_Sold ]]&lt;&gt;INT(Financials[[#This Row],[ Units_Sold ]]),1,0)</f>
        <v/>
      </c>
      <c r="R434" s="10">
        <f>Financials[[#This Row],[ Profit ]]/Financials[[#This Row],[  Sales ]]</f>
        <v/>
      </c>
      <c r="S434" s="2">
        <f>Financials[[#This Row],[ COGS ]]/Financials[[#This Row],[  Sales ]]</f>
        <v/>
      </c>
      <c r="T434" s="3">
        <f>Financials[[#This Row],[ Discounts ]]/Financials[[#This Row],[  Sales ]]</f>
        <v/>
      </c>
      <c r="U434">
        <f>Financials[[#This Row],[  Sales ]]/Financials[[#This Row],[ Units_Sold ]]</f>
        <v/>
      </c>
      <c r="V434">
        <f>Financials[[#This Row],[ Profit ]]/Financials[[#This Row],[ Units_Sold ]]</f>
        <v/>
      </c>
      <c r="W434">
        <f>IF(Financials[[#This Row],[ Profit ]]&lt;0,1,0)</f>
        <v/>
      </c>
    </row>
    <row r="435">
      <c r="A435" t="inlineStr">
        <is>
          <t>Midmarket</t>
        </is>
      </c>
      <c r="B435" t="inlineStr">
        <is>
          <t>Germany</t>
        </is>
      </c>
      <c r="C435" t="inlineStr">
        <is>
          <t xml:space="preserve"> Amarilla </t>
        </is>
      </c>
      <c r="D435" t="inlineStr">
        <is>
          <t xml:space="preserve"> Medium </t>
        </is>
      </c>
      <c r="E435" t="n">
        <v>970</v>
      </c>
      <c r="F435" s="69" t="n">
        <v>260</v>
      </c>
      <c r="G435" s="69" t="n">
        <v>15</v>
      </c>
      <c r="H435" s="69" t="n">
        <v>14550</v>
      </c>
      <c r="I435" s="5" t="n">
        <v>1309.5</v>
      </c>
      <c r="J435" s="69" t="n">
        <v>13240.5</v>
      </c>
      <c r="K435" s="69" t="n">
        <v>9700</v>
      </c>
      <c r="L435" s="69" t="n">
        <v>3540.5</v>
      </c>
      <c r="M435" s="1" t="n">
        <v>41285</v>
      </c>
      <c r="N435" t="n">
        <v>11</v>
      </c>
      <c r="O435" t="inlineStr">
        <is>
          <t xml:space="preserve"> November </t>
        </is>
      </c>
      <c r="P435" t="n">
        <v>2013</v>
      </c>
      <c r="Q435">
        <f>IF(Financials[[#This Row],[ Units_Sold ]]&lt;&gt;INT(Financials[[#This Row],[ Units_Sold ]]),1,0)</f>
        <v/>
      </c>
      <c r="R435" s="10">
        <f>Financials[[#This Row],[ Profit ]]/Financials[[#This Row],[  Sales ]]</f>
        <v/>
      </c>
      <c r="S435" s="2">
        <f>Financials[[#This Row],[ COGS ]]/Financials[[#This Row],[  Sales ]]</f>
        <v/>
      </c>
      <c r="T435" s="3">
        <f>Financials[[#This Row],[ Discounts ]]/Financials[[#This Row],[  Sales ]]</f>
        <v/>
      </c>
      <c r="U435">
        <f>Financials[[#This Row],[  Sales ]]/Financials[[#This Row],[ Units_Sold ]]</f>
        <v/>
      </c>
      <c r="V435">
        <f>Financials[[#This Row],[ Profit ]]/Financials[[#This Row],[ Units_Sold ]]</f>
        <v/>
      </c>
      <c r="W435">
        <f>IF(Financials[[#This Row],[ Profit ]]&lt;0,1,0)</f>
        <v/>
      </c>
    </row>
    <row r="436">
      <c r="A436" t="inlineStr">
        <is>
          <t>Government</t>
        </is>
      </c>
      <c r="B436" t="inlineStr">
        <is>
          <t>Mexico</t>
        </is>
      </c>
      <c r="C436" t="inlineStr">
        <is>
          <t xml:space="preserve"> Amarilla </t>
        </is>
      </c>
      <c r="D436" t="inlineStr">
        <is>
          <t xml:space="preserve"> Medium </t>
        </is>
      </c>
      <c r="E436" t="n">
        <v>1694</v>
      </c>
      <c r="F436" s="69" t="n">
        <v>260</v>
      </c>
      <c r="G436" s="69" t="n">
        <v>20</v>
      </c>
      <c r="H436" s="69" t="n">
        <v>33880</v>
      </c>
      <c r="I436" s="5" t="n">
        <v>3049.2</v>
      </c>
      <c r="J436" s="69" t="n">
        <v>30830.8</v>
      </c>
      <c r="K436" s="69" t="n">
        <v>16940</v>
      </c>
      <c r="L436" s="69" t="n">
        <v>13890.8</v>
      </c>
      <c r="M436" s="1" t="n">
        <v>41650</v>
      </c>
      <c r="N436" t="n">
        <v>11</v>
      </c>
      <c r="O436" t="inlineStr">
        <is>
          <t xml:space="preserve"> November </t>
        </is>
      </c>
      <c r="P436" t="n">
        <v>2014</v>
      </c>
      <c r="Q436">
        <f>IF(Financials[[#This Row],[ Units_Sold ]]&lt;&gt;INT(Financials[[#This Row],[ Units_Sold ]]),1,0)</f>
        <v/>
      </c>
      <c r="R436" s="10">
        <f>Financials[[#This Row],[ Profit ]]/Financials[[#This Row],[  Sales ]]</f>
        <v/>
      </c>
      <c r="S436" s="2">
        <f>Financials[[#This Row],[ COGS ]]/Financials[[#This Row],[  Sales ]]</f>
        <v/>
      </c>
      <c r="T436" s="3">
        <f>Financials[[#This Row],[ Discounts ]]/Financials[[#This Row],[  Sales ]]</f>
        <v/>
      </c>
      <c r="U436">
        <f>Financials[[#This Row],[  Sales ]]/Financials[[#This Row],[ Units_Sold ]]</f>
        <v/>
      </c>
      <c r="V436">
        <f>Financials[[#This Row],[ Profit ]]/Financials[[#This Row],[ Units_Sold ]]</f>
        <v/>
      </c>
      <c r="W436">
        <f>IF(Financials[[#This Row],[ Profit ]]&lt;0,1,0)</f>
        <v/>
      </c>
    </row>
    <row r="437">
      <c r="A437" t="inlineStr">
        <is>
          <t>Government</t>
        </is>
      </c>
      <c r="B437" t="inlineStr">
        <is>
          <t>Germany</t>
        </is>
      </c>
      <c r="C437" t="inlineStr">
        <is>
          <t xml:space="preserve"> Carretera </t>
        </is>
      </c>
      <c r="D437" t="inlineStr">
        <is>
          <t xml:space="preserve"> Medium </t>
        </is>
      </c>
      <c r="E437" t="n">
        <v>663</v>
      </c>
      <c r="F437" s="69" t="n">
        <v>3</v>
      </c>
      <c r="G437" s="69" t="n">
        <v>20</v>
      </c>
      <c r="H437" s="69" t="n">
        <v>13260</v>
      </c>
      <c r="I437" s="5" t="n">
        <v>1193.4</v>
      </c>
      <c r="J437" s="69" t="n">
        <v>12066.6</v>
      </c>
      <c r="K437" s="69" t="n">
        <v>6630</v>
      </c>
      <c r="L437" s="69" t="n">
        <v>5436.6</v>
      </c>
      <c r="M437" s="1" t="n">
        <v>41644</v>
      </c>
      <c r="N437" t="n">
        <v>5</v>
      </c>
      <c r="O437" t="inlineStr">
        <is>
          <t xml:space="preserve"> May </t>
        </is>
      </c>
      <c r="P437" t="n">
        <v>2014</v>
      </c>
      <c r="Q437">
        <f>IF(Financials[[#This Row],[ Units_Sold ]]&lt;&gt;INT(Financials[[#This Row],[ Units_Sold ]]),1,0)</f>
        <v/>
      </c>
      <c r="R437" s="10">
        <f>Financials[[#This Row],[ Profit ]]/Financials[[#This Row],[  Sales ]]</f>
        <v/>
      </c>
      <c r="S437" s="2">
        <f>Financials[[#This Row],[ COGS ]]/Financials[[#This Row],[  Sales ]]</f>
        <v/>
      </c>
      <c r="T437" s="3">
        <f>Financials[[#This Row],[ Discounts ]]/Financials[[#This Row],[  Sales ]]</f>
        <v/>
      </c>
      <c r="U437">
        <f>Financials[[#This Row],[  Sales ]]/Financials[[#This Row],[ Units_Sold ]]</f>
        <v/>
      </c>
      <c r="V437">
        <f>Financials[[#This Row],[ Profit ]]/Financials[[#This Row],[ Units_Sold ]]</f>
        <v/>
      </c>
      <c r="W437">
        <f>IF(Financials[[#This Row],[ Profit ]]&lt;0,1,0)</f>
        <v/>
      </c>
    </row>
    <row r="438">
      <c r="A438" t="inlineStr">
        <is>
          <t>Government</t>
        </is>
      </c>
      <c r="B438" t="inlineStr">
        <is>
          <t>Canada</t>
        </is>
      </c>
      <c r="C438" t="inlineStr">
        <is>
          <t xml:space="preserve"> Carretera </t>
        </is>
      </c>
      <c r="D438" t="inlineStr">
        <is>
          <t xml:space="preserve"> Medium </t>
        </is>
      </c>
      <c r="E438" t="n">
        <v>819</v>
      </c>
      <c r="F438" s="69" t="n">
        <v>3</v>
      </c>
      <c r="G438" s="69" t="n">
        <v>7</v>
      </c>
      <c r="H438" s="69" t="n">
        <v>5733</v>
      </c>
      <c r="I438" s="5" t="n">
        <v>515.97</v>
      </c>
      <c r="J438" s="69" t="n">
        <v>5217.03</v>
      </c>
      <c r="K438" s="69" t="n">
        <v>4095</v>
      </c>
      <c r="L438" s="69" t="n">
        <v>1122.03</v>
      </c>
      <c r="M438" s="1" t="n">
        <v>41646</v>
      </c>
      <c r="N438" t="n">
        <v>7</v>
      </c>
      <c r="O438" t="inlineStr">
        <is>
          <t xml:space="preserve"> July </t>
        </is>
      </c>
      <c r="P438" t="n">
        <v>2014</v>
      </c>
      <c r="Q438">
        <f>IF(Financials[[#This Row],[ Units_Sold ]]&lt;&gt;INT(Financials[[#This Row],[ Units_Sold ]]),1,0)</f>
        <v/>
      </c>
      <c r="R438" s="10">
        <f>Financials[[#This Row],[ Profit ]]/Financials[[#This Row],[  Sales ]]</f>
        <v/>
      </c>
      <c r="S438" s="2">
        <f>Financials[[#This Row],[ COGS ]]/Financials[[#This Row],[  Sales ]]</f>
        <v/>
      </c>
      <c r="T438" s="3">
        <f>Financials[[#This Row],[ Discounts ]]/Financials[[#This Row],[  Sales ]]</f>
        <v/>
      </c>
      <c r="U438">
        <f>Financials[[#This Row],[  Sales ]]/Financials[[#This Row],[ Units_Sold ]]</f>
        <v/>
      </c>
      <c r="V438">
        <f>Financials[[#This Row],[ Profit ]]/Financials[[#This Row],[ Units_Sold ]]</f>
        <v/>
      </c>
      <c r="W438">
        <f>IF(Financials[[#This Row],[ Profit ]]&lt;0,1,0)</f>
        <v/>
      </c>
    </row>
    <row r="439">
      <c r="A439" t="inlineStr">
        <is>
          <t>Channel Partners</t>
        </is>
      </c>
      <c r="B439" t="inlineStr">
        <is>
          <t>Germany</t>
        </is>
      </c>
      <c r="C439" t="inlineStr">
        <is>
          <t xml:space="preserve"> Carretera </t>
        </is>
      </c>
      <c r="D439" t="inlineStr">
        <is>
          <t xml:space="preserve"> Medium </t>
        </is>
      </c>
      <c r="E439" t="n">
        <v>1580</v>
      </c>
      <c r="F439" s="69" t="n">
        <v>3</v>
      </c>
      <c r="G439" s="69" t="n">
        <v>12</v>
      </c>
      <c r="H439" s="69" t="n">
        <v>18960</v>
      </c>
      <c r="I439" s="5" t="n">
        <v>1706.4</v>
      </c>
      <c r="J439" s="69" t="n">
        <v>17253.6</v>
      </c>
      <c r="K439" s="69" t="n">
        <v>4740</v>
      </c>
      <c r="L439" s="69" t="n">
        <v>12513.6</v>
      </c>
      <c r="M439" s="1" t="n">
        <v>41648</v>
      </c>
      <c r="N439" t="n">
        <v>9</v>
      </c>
      <c r="O439" t="inlineStr">
        <is>
          <t xml:space="preserve"> September </t>
        </is>
      </c>
      <c r="P439" t="n">
        <v>2014</v>
      </c>
      <c r="Q439">
        <f>IF(Financials[[#This Row],[ Units_Sold ]]&lt;&gt;INT(Financials[[#This Row],[ Units_Sold ]]),1,0)</f>
        <v/>
      </c>
      <c r="R439" s="10">
        <f>Financials[[#This Row],[ Profit ]]/Financials[[#This Row],[  Sales ]]</f>
        <v/>
      </c>
      <c r="S439" s="2">
        <f>Financials[[#This Row],[ COGS ]]/Financials[[#This Row],[  Sales ]]</f>
        <v/>
      </c>
      <c r="T439" s="3">
        <f>Financials[[#This Row],[ Discounts ]]/Financials[[#This Row],[  Sales ]]</f>
        <v/>
      </c>
      <c r="U439">
        <f>Financials[[#This Row],[  Sales ]]/Financials[[#This Row],[ Units_Sold ]]</f>
        <v/>
      </c>
      <c r="V439">
        <f>Financials[[#This Row],[ Profit ]]/Financials[[#This Row],[ Units_Sold ]]</f>
        <v/>
      </c>
      <c r="W439">
        <f>IF(Financials[[#This Row],[ Profit ]]&lt;0,1,0)</f>
        <v/>
      </c>
    </row>
    <row r="440">
      <c r="A440" t="inlineStr">
        <is>
          <t>Government</t>
        </is>
      </c>
      <c r="B440" t="inlineStr">
        <is>
          <t>Mexico</t>
        </is>
      </c>
      <c r="C440" t="inlineStr">
        <is>
          <t xml:space="preserve"> Carretera </t>
        </is>
      </c>
      <c r="D440" t="inlineStr">
        <is>
          <t xml:space="preserve"> Medium </t>
        </is>
      </c>
      <c r="E440" t="n">
        <v>521</v>
      </c>
      <c r="F440" s="69" t="n">
        <v>3</v>
      </c>
      <c r="G440" s="69" t="n">
        <v>7</v>
      </c>
      <c r="H440" s="69" t="n">
        <v>3647</v>
      </c>
      <c r="I440" s="5" t="n">
        <v>328.23</v>
      </c>
      <c r="J440" s="69" t="n">
        <v>3318.77</v>
      </c>
      <c r="K440" s="69" t="n">
        <v>2605</v>
      </c>
      <c r="L440" s="69" t="n">
        <v>713.77</v>
      </c>
      <c r="M440" s="1" t="n">
        <v>41651</v>
      </c>
      <c r="N440" t="n">
        <v>12</v>
      </c>
      <c r="O440" t="inlineStr">
        <is>
          <t xml:space="preserve"> December </t>
        </is>
      </c>
      <c r="P440" t="n">
        <v>2014</v>
      </c>
      <c r="Q440">
        <f>IF(Financials[[#This Row],[ Units_Sold ]]&lt;&gt;INT(Financials[[#This Row],[ Units_Sold ]]),1,0)</f>
        <v/>
      </c>
      <c r="R440" s="10">
        <f>Financials[[#This Row],[ Profit ]]/Financials[[#This Row],[  Sales ]]</f>
        <v/>
      </c>
      <c r="S440" s="2">
        <f>Financials[[#This Row],[ COGS ]]/Financials[[#This Row],[  Sales ]]</f>
        <v/>
      </c>
      <c r="T440" s="3">
        <f>Financials[[#This Row],[ Discounts ]]/Financials[[#This Row],[  Sales ]]</f>
        <v/>
      </c>
      <c r="U440">
        <f>Financials[[#This Row],[  Sales ]]/Financials[[#This Row],[ Units_Sold ]]</f>
        <v/>
      </c>
      <c r="V440">
        <f>Financials[[#This Row],[ Profit ]]/Financials[[#This Row],[ Units_Sold ]]</f>
        <v/>
      </c>
      <c r="W440">
        <f>IF(Financials[[#This Row],[ Profit ]]&lt;0,1,0)</f>
        <v/>
      </c>
    </row>
    <row r="441">
      <c r="A441" t="inlineStr">
        <is>
          <t>Government</t>
        </is>
      </c>
      <c r="B441" t="inlineStr">
        <is>
          <t>United States of America</t>
        </is>
      </c>
      <c r="C441" t="inlineStr">
        <is>
          <t xml:space="preserve"> Paseo </t>
        </is>
      </c>
      <c r="D441" t="inlineStr">
        <is>
          <t xml:space="preserve"> Medium </t>
        </is>
      </c>
      <c r="E441" t="n">
        <v>973</v>
      </c>
      <c r="F441" s="69" t="n">
        <v>10</v>
      </c>
      <c r="G441" s="69" t="n">
        <v>20</v>
      </c>
      <c r="H441" s="69" t="n">
        <v>19460</v>
      </c>
      <c r="I441" s="5" t="n">
        <v>1751.4</v>
      </c>
      <c r="J441" s="69" t="n">
        <v>17708.6</v>
      </c>
      <c r="K441" s="69" t="n">
        <v>9730</v>
      </c>
      <c r="L441" s="69" t="n">
        <v>7978.6</v>
      </c>
      <c r="M441" s="1" t="n">
        <v>41642</v>
      </c>
      <c r="N441" t="n">
        <v>3</v>
      </c>
      <c r="O441" t="inlineStr">
        <is>
          <t xml:space="preserve"> March </t>
        </is>
      </c>
      <c r="P441" t="n">
        <v>2014</v>
      </c>
      <c r="Q441">
        <f>IF(Financials[[#This Row],[ Units_Sold ]]&lt;&gt;INT(Financials[[#This Row],[ Units_Sold ]]),1,0)</f>
        <v/>
      </c>
      <c r="R441" s="10">
        <f>Financials[[#This Row],[ Profit ]]/Financials[[#This Row],[  Sales ]]</f>
        <v/>
      </c>
      <c r="S441" s="2">
        <f>Financials[[#This Row],[ COGS ]]/Financials[[#This Row],[  Sales ]]</f>
        <v/>
      </c>
      <c r="T441" s="3">
        <f>Financials[[#This Row],[ Discounts ]]/Financials[[#This Row],[  Sales ]]</f>
        <v/>
      </c>
      <c r="U441">
        <f>Financials[[#This Row],[  Sales ]]/Financials[[#This Row],[ Units_Sold ]]</f>
        <v/>
      </c>
      <c r="V441">
        <f>Financials[[#This Row],[ Profit ]]/Financials[[#This Row],[ Units_Sold ]]</f>
        <v/>
      </c>
      <c r="W441">
        <f>IF(Financials[[#This Row],[ Profit ]]&lt;0,1,0)</f>
        <v/>
      </c>
    </row>
    <row r="442">
      <c r="A442" t="inlineStr">
        <is>
          <t>Government</t>
        </is>
      </c>
      <c r="B442" t="inlineStr">
        <is>
          <t>Mexico</t>
        </is>
      </c>
      <c r="C442" t="inlineStr">
        <is>
          <t xml:space="preserve"> Paseo </t>
        </is>
      </c>
      <c r="D442" t="inlineStr">
        <is>
          <t xml:space="preserve"> Medium </t>
        </is>
      </c>
      <c r="E442" t="n">
        <v>1038</v>
      </c>
      <c r="F442" s="69" t="n">
        <v>10</v>
      </c>
      <c r="G442" s="69" t="n">
        <v>20</v>
      </c>
      <c r="H442" s="69" t="n">
        <v>20760</v>
      </c>
      <c r="I442" s="5" t="n">
        <v>1868.4</v>
      </c>
      <c r="J442" s="69" t="n">
        <v>18891.6</v>
      </c>
      <c r="K442" s="69" t="n">
        <v>10380</v>
      </c>
      <c r="L442" s="69" t="n">
        <v>8511.6</v>
      </c>
      <c r="M442" s="1" t="n">
        <v>41645</v>
      </c>
      <c r="N442" t="n">
        <v>6</v>
      </c>
      <c r="O442" t="inlineStr">
        <is>
          <t xml:space="preserve"> June </t>
        </is>
      </c>
      <c r="P442" t="n">
        <v>2014</v>
      </c>
      <c r="Q442">
        <f>IF(Financials[[#This Row],[ Units_Sold ]]&lt;&gt;INT(Financials[[#This Row],[ Units_Sold ]]),1,0)</f>
        <v/>
      </c>
      <c r="R442" s="10">
        <f>Financials[[#This Row],[ Profit ]]/Financials[[#This Row],[  Sales ]]</f>
        <v/>
      </c>
      <c r="S442" s="2">
        <f>Financials[[#This Row],[ COGS ]]/Financials[[#This Row],[  Sales ]]</f>
        <v/>
      </c>
      <c r="T442" s="3">
        <f>Financials[[#This Row],[ Discounts ]]/Financials[[#This Row],[  Sales ]]</f>
        <v/>
      </c>
      <c r="U442">
        <f>Financials[[#This Row],[  Sales ]]/Financials[[#This Row],[ Units_Sold ]]</f>
        <v/>
      </c>
      <c r="V442">
        <f>Financials[[#This Row],[ Profit ]]/Financials[[#This Row],[ Units_Sold ]]</f>
        <v/>
      </c>
      <c r="W442">
        <f>IF(Financials[[#This Row],[ Profit ]]&lt;0,1,0)</f>
        <v/>
      </c>
    </row>
    <row r="443">
      <c r="A443" t="inlineStr">
        <is>
          <t>Government</t>
        </is>
      </c>
      <c r="B443" t="inlineStr">
        <is>
          <t>Germany</t>
        </is>
      </c>
      <c r="C443" t="inlineStr">
        <is>
          <t xml:space="preserve"> Paseo </t>
        </is>
      </c>
      <c r="D443" t="inlineStr">
        <is>
          <t xml:space="preserve"> Medium </t>
        </is>
      </c>
      <c r="E443" t="n">
        <v>360</v>
      </c>
      <c r="F443" s="69" t="n">
        <v>10</v>
      </c>
      <c r="G443" s="69" t="n">
        <v>7</v>
      </c>
      <c r="H443" s="69" t="n">
        <v>2520</v>
      </c>
      <c r="I443" s="5" t="n">
        <v>226.8</v>
      </c>
      <c r="J443" s="69" t="n">
        <v>2293.2</v>
      </c>
      <c r="K443" s="69" t="n">
        <v>1800</v>
      </c>
      <c r="L443" s="69" t="n">
        <v>493.2</v>
      </c>
      <c r="M443" s="1" t="n">
        <v>41649</v>
      </c>
      <c r="N443" t="n">
        <v>10</v>
      </c>
      <c r="O443" t="inlineStr">
        <is>
          <t xml:space="preserve"> October </t>
        </is>
      </c>
      <c r="P443" t="n">
        <v>2014</v>
      </c>
      <c r="Q443">
        <f>IF(Financials[[#This Row],[ Units_Sold ]]&lt;&gt;INT(Financials[[#This Row],[ Units_Sold ]]),1,0)</f>
        <v/>
      </c>
      <c r="R443" s="10">
        <f>Financials[[#This Row],[ Profit ]]/Financials[[#This Row],[  Sales ]]</f>
        <v/>
      </c>
      <c r="S443" s="2">
        <f>Financials[[#This Row],[ COGS ]]/Financials[[#This Row],[  Sales ]]</f>
        <v/>
      </c>
      <c r="T443" s="3">
        <f>Financials[[#This Row],[ Discounts ]]/Financials[[#This Row],[  Sales ]]</f>
        <v/>
      </c>
      <c r="U443">
        <f>Financials[[#This Row],[  Sales ]]/Financials[[#This Row],[ Units_Sold ]]</f>
        <v/>
      </c>
      <c r="V443">
        <f>Financials[[#This Row],[ Profit ]]/Financials[[#This Row],[ Units_Sold ]]</f>
        <v/>
      </c>
      <c r="W443">
        <f>IF(Financials[[#This Row],[ Profit ]]&lt;0,1,0)</f>
        <v/>
      </c>
    </row>
    <row r="444">
      <c r="A444" t="inlineStr">
        <is>
          <t>Channel Partners</t>
        </is>
      </c>
      <c r="B444" t="inlineStr">
        <is>
          <t>France</t>
        </is>
      </c>
      <c r="C444" t="inlineStr">
        <is>
          <t xml:space="preserve"> Velo </t>
        </is>
      </c>
      <c r="D444" t="inlineStr">
        <is>
          <t xml:space="preserve"> Medium </t>
        </is>
      </c>
      <c r="E444" t="n">
        <v>1967</v>
      </c>
      <c r="F444" s="69" t="n">
        <v>120</v>
      </c>
      <c r="G444" s="69" t="n">
        <v>12</v>
      </c>
      <c r="H444" s="69" t="n">
        <v>23604</v>
      </c>
      <c r="I444" s="5" t="n">
        <v>2124.36</v>
      </c>
      <c r="J444" s="69" t="n">
        <v>21479.64</v>
      </c>
      <c r="K444" s="69" t="n">
        <v>5901</v>
      </c>
      <c r="L444" s="69" t="n">
        <v>15578.64</v>
      </c>
      <c r="M444" s="1" t="n">
        <v>41642</v>
      </c>
      <c r="N444" t="n">
        <v>3</v>
      </c>
      <c r="O444" t="inlineStr">
        <is>
          <t xml:space="preserve"> March </t>
        </is>
      </c>
      <c r="P444" t="n">
        <v>2014</v>
      </c>
      <c r="Q444">
        <f>IF(Financials[[#This Row],[ Units_Sold ]]&lt;&gt;INT(Financials[[#This Row],[ Units_Sold ]]),1,0)</f>
        <v/>
      </c>
      <c r="R444" s="10">
        <f>Financials[[#This Row],[ Profit ]]/Financials[[#This Row],[  Sales ]]</f>
        <v/>
      </c>
      <c r="S444" s="2">
        <f>Financials[[#This Row],[ COGS ]]/Financials[[#This Row],[  Sales ]]</f>
        <v/>
      </c>
      <c r="T444" s="3">
        <f>Financials[[#This Row],[ Discounts ]]/Financials[[#This Row],[  Sales ]]</f>
        <v/>
      </c>
      <c r="U444">
        <f>Financials[[#This Row],[  Sales ]]/Financials[[#This Row],[ Units_Sold ]]</f>
        <v/>
      </c>
      <c r="V444">
        <f>Financials[[#This Row],[ Profit ]]/Financials[[#This Row],[ Units_Sold ]]</f>
        <v/>
      </c>
      <c r="W444">
        <f>IF(Financials[[#This Row],[ Profit ]]&lt;0,1,0)</f>
        <v/>
      </c>
    </row>
    <row r="445">
      <c r="A445" t="inlineStr">
        <is>
          <t>Midmarket</t>
        </is>
      </c>
      <c r="B445" t="inlineStr">
        <is>
          <t>Mexico</t>
        </is>
      </c>
      <c r="C445" t="inlineStr">
        <is>
          <t xml:space="preserve"> Velo </t>
        </is>
      </c>
      <c r="D445" t="inlineStr">
        <is>
          <t xml:space="preserve"> Medium </t>
        </is>
      </c>
      <c r="E445" t="n">
        <v>2628</v>
      </c>
      <c r="F445" s="69" t="n">
        <v>120</v>
      </c>
      <c r="G445" s="69" t="n">
        <v>15</v>
      </c>
      <c r="H445" s="69" t="n">
        <v>39420</v>
      </c>
      <c r="I445" s="5" t="n">
        <v>3547.8</v>
      </c>
      <c r="J445" s="69" t="n">
        <v>35872.2</v>
      </c>
      <c r="K445" s="69" t="n">
        <v>26280</v>
      </c>
      <c r="L445" s="69" t="n">
        <v>9592.200000000001</v>
      </c>
      <c r="M445" s="1" t="n">
        <v>41643</v>
      </c>
      <c r="N445" t="n">
        <v>4</v>
      </c>
      <c r="O445" t="inlineStr">
        <is>
          <t xml:space="preserve"> April </t>
        </is>
      </c>
      <c r="P445" t="n">
        <v>2014</v>
      </c>
      <c r="Q445">
        <f>IF(Financials[[#This Row],[ Units_Sold ]]&lt;&gt;INT(Financials[[#This Row],[ Units_Sold ]]),1,0)</f>
        <v/>
      </c>
      <c r="R445" s="10">
        <f>Financials[[#This Row],[ Profit ]]/Financials[[#This Row],[  Sales ]]</f>
        <v/>
      </c>
      <c r="S445" s="2">
        <f>Financials[[#This Row],[ COGS ]]/Financials[[#This Row],[  Sales ]]</f>
        <v/>
      </c>
      <c r="T445" s="3">
        <f>Financials[[#This Row],[ Discounts ]]/Financials[[#This Row],[  Sales ]]</f>
        <v/>
      </c>
      <c r="U445">
        <f>Financials[[#This Row],[  Sales ]]/Financials[[#This Row],[ Units_Sold ]]</f>
        <v/>
      </c>
      <c r="V445">
        <f>Financials[[#This Row],[ Profit ]]/Financials[[#This Row],[ Units_Sold ]]</f>
        <v/>
      </c>
      <c r="W445">
        <f>IF(Financials[[#This Row],[ Profit ]]&lt;0,1,0)</f>
        <v/>
      </c>
    </row>
    <row r="446">
      <c r="A446" t="inlineStr">
        <is>
          <t>Government</t>
        </is>
      </c>
      <c r="B446" t="inlineStr">
        <is>
          <t>Germany</t>
        </is>
      </c>
      <c r="C446" t="inlineStr">
        <is>
          <t xml:space="preserve"> VTT </t>
        </is>
      </c>
      <c r="D446" t="inlineStr">
        <is>
          <t xml:space="preserve"> Medium </t>
        </is>
      </c>
      <c r="E446" t="n">
        <v>360</v>
      </c>
      <c r="F446" s="69" t="n">
        <v>250</v>
      </c>
      <c r="G446" s="69" t="n">
        <v>7</v>
      </c>
      <c r="H446" s="69" t="n">
        <v>2520</v>
      </c>
      <c r="I446" s="5" t="n">
        <v>226.8</v>
      </c>
      <c r="J446" s="69" t="n">
        <v>2293.2</v>
      </c>
      <c r="K446" s="69" t="n">
        <v>1800</v>
      </c>
      <c r="L446" s="69" t="n">
        <v>493.2</v>
      </c>
      <c r="M446" s="1" t="n">
        <v>41649</v>
      </c>
      <c r="N446" t="n">
        <v>10</v>
      </c>
      <c r="O446" t="inlineStr">
        <is>
          <t xml:space="preserve"> October </t>
        </is>
      </c>
      <c r="P446" t="n">
        <v>2014</v>
      </c>
      <c r="Q446">
        <f>IF(Financials[[#This Row],[ Units_Sold ]]&lt;&gt;INT(Financials[[#This Row],[ Units_Sold ]]),1,0)</f>
        <v/>
      </c>
      <c r="R446" s="10">
        <f>Financials[[#This Row],[ Profit ]]/Financials[[#This Row],[  Sales ]]</f>
        <v/>
      </c>
      <c r="S446" s="2">
        <f>Financials[[#This Row],[ COGS ]]/Financials[[#This Row],[  Sales ]]</f>
        <v/>
      </c>
      <c r="T446" s="3">
        <f>Financials[[#This Row],[ Discounts ]]/Financials[[#This Row],[  Sales ]]</f>
        <v/>
      </c>
      <c r="U446">
        <f>Financials[[#This Row],[  Sales ]]/Financials[[#This Row],[ Units_Sold ]]</f>
        <v/>
      </c>
      <c r="V446">
        <f>Financials[[#This Row],[ Profit ]]/Financials[[#This Row],[ Units_Sold ]]</f>
        <v/>
      </c>
      <c r="W446">
        <f>IF(Financials[[#This Row],[ Profit ]]&lt;0,1,0)</f>
        <v/>
      </c>
    </row>
    <row r="447">
      <c r="A447" t="inlineStr">
        <is>
          <t>Government</t>
        </is>
      </c>
      <c r="B447" t="inlineStr">
        <is>
          <t>France</t>
        </is>
      </c>
      <c r="C447" t="inlineStr">
        <is>
          <t xml:space="preserve"> VTT </t>
        </is>
      </c>
      <c r="D447" t="inlineStr">
        <is>
          <t xml:space="preserve"> Medium </t>
        </is>
      </c>
      <c r="E447" t="n">
        <v>2682</v>
      </c>
      <c r="F447" s="69" t="n">
        <v>250</v>
      </c>
      <c r="G447" s="69" t="n">
        <v>20</v>
      </c>
      <c r="H447" s="69" t="n">
        <v>53640</v>
      </c>
      <c r="I447" s="5" t="n">
        <v>4827.6</v>
      </c>
      <c r="J447" s="69" t="n">
        <v>48812.4</v>
      </c>
      <c r="K447" s="69" t="n">
        <v>26820</v>
      </c>
      <c r="L447" s="69" t="n">
        <v>21992.4</v>
      </c>
      <c r="M447" s="1" t="n">
        <v>41285</v>
      </c>
      <c r="N447" t="n">
        <v>11</v>
      </c>
      <c r="O447" t="inlineStr">
        <is>
          <t xml:space="preserve"> November </t>
        </is>
      </c>
      <c r="P447" t="n">
        <v>2013</v>
      </c>
      <c r="Q447">
        <f>IF(Financials[[#This Row],[ Units_Sold ]]&lt;&gt;INT(Financials[[#This Row],[ Units_Sold ]]),1,0)</f>
        <v/>
      </c>
      <c r="R447" s="10">
        <f>Financials[[#This Row],[ Profit ]]/Financials[[#This Row],[  Sales ]]</f>
        <v/>
      </c>
      <c r="S447" s="2">
        <f>Financials[[#This Row],[ COGS ]]/Financials[[#This Row],[  Sales ]]</f>
        <v/>
      </c>
      <c r="T447" s="3">
        <f>Financials[[#This Row],[ Discounts ]]/Financials[[#This Row],[  Sales ]]</f>
        <v/>
      </c>
      <c r="U447">
        <f>Financials[[#This Row],[  Sales ]]/Financials[[#This Row],[ Units_Sold ]]</f>
        <v/>
      </c>
      <c r="V447">
        <f>Financials[[#This Row],[ Profit ]]/Financials[[#This Row],[ Units_Sold ]]</f>
        <v/>
      </c>
      <c r="W447">
        <f>IF(Financials[[#This Row],[ Profit ]]&lt;0,1,0)</f>
        <v/>
      </c>
    </row>
    <row r="448">
      <c r="A448" t="inlineStr">
        <is>
          <t>Government</t>
        </is>
      </c>
      <c r="B448" t="inlineStr">
        <is>
          <t>Mexico</t>
        </is>
      </c>
      <c r="C448" t="inlineStr">
        <is>
          <t xml:space="preserve"> VTT </t>
        </is>
      </c>
      <c r="D448" t="inlineStr">
        <is>
          <t xml:space="preserve"> Medium </t>
        </is>
      </c>
      <c r="E448" t="n">
        <v>521</v>
      </c>
      <c r="F448" s="69" t="n">
        <v>250</v>
      </c>
      <c r="G448" s="69" t="n">
        <v>7</v>
      </c>
      <c r="H448" s="69" t="n">
        <v>3647</v>
      </c>
      <c r="I448" s="5" t="n">
        <v>328.23</v>
      </c>
      <c r="J448" s="69" t="n">
        <v>3318.77</v>
      </c>
      <c r="K448" s="69" t="n">
        <v>2605</v>
      </c>
      <c r="L448" s="69" t="n">
        <v>713.77</v>
      </c>
      <c r="M448" s="1" t="n">
        <v>41651</v>
      </c>
      <c r="N448" t="n">
        <v>12</v>
      </c>
      <c r="O448" t="inlineStr">
        <is>
          <t xml:space="preserve"> December </t>
        </is>
      </c>
      <c r="P448" t="n">
        <v>2014</v>
      </c>
      <c r="Q448">
        <f>IF(Financials[[#This Row],[ Units_Sold ]]&lt;&gt;INT(Financials[[#This Row],[ Units_Sold ]]),1,0)</f>
        <v/>
      </c>
      <c r="R448" s="10">
        <f>Financials[[#This Row],[ Profit ]]/Financials[[#This Row],[  Sales ]]</f>
        <v/>
      </c>
      <c r="S448" s="2">
        <f>Financials[[#This Row],[ COGS ]]/Financials[[#This Row],[  Sales ]]</f>
        <v/>
      </c>
      <c r="T448" s="3">
        <f>Financials[[#This Row],[ Discounts ]]/Financials[[#This Row],[  Sales ]]</f>
        <v/>
      </c>
      <c r="U448">
        <f>Financials[[#This Row],[  Sales ]]/Financials[[#This Row],[ Units_Sold ]]</f>
        <v/>
      </c>
      <c r="V448">
        <f>Financials[[#This Row],[ Profit ]]/Financials[[#This Row],[ Units_Sold ]]</f>
        <v/>
      </c>
      <c r="W448">
        <f>IF(Financials[[#This Row],[ Profit ]]&lt;0,1,0)</f>
        <v/>
      </c>
    </row>
    <row r="449">
      <c r="A449" t="inlineStr">
        <is>
          <t>Government</t>
        </is>
      </c>
      <c r="B449" t="inlineStr">
        <is>
          <t>Mexico</t>
        </is>
      </c>
      <c r="C449" t="inlineStr">
        <is>
          <t xml:space="preserve"> Amarilla </t>
        </is>
      </c>
      <c r="D449" t="inlineStr">
        <is>
          <t xml:space="preserve"> Medium </t>
        </is>
      </c>
      <c r="E449" t="n">
        <v>1038</v>
      </c>
      <c r="F449" s="69" t="n">
        <v>260</v>
      </c>
      <c r="G449" s="69" t="n">
        <v>20</v>
      </c>
      <c r="H449" s="69" t="n">
        <v>20760</v>
      </c>
      <c r="I449" s="5" t="n">
        <v>1868.4</v>
      </c>
      <c r="J449" s="69" t="n">
        <v>18891.6</v>
      </c>
      <c r="K449" s="69" t="n">
        <v>10380</v>
      </c>
      <c r="L449" s="69" t="n">
        <v>8511.6</v>
      </c>
      <c r="M449" s="1" t="n">
        <v>41645</v>
      </c>
      <c r="N449" t="n">
        <v>6</v>
      </c>
      <c r="O449" t="inlineStr">
        <is>
          <t xml:space="preserve"> June </t>
        </is>
      </c>
      <c r="P449" t="n">
        <v>2014</v>
      </c>
      <c r="Q449">
        <f>IF(Financials[[#This Row],[ Units_Sold ]]&lt;&gt;INT(Financials[[#This Row],[ Units_Sold ]]),1,0)</f>
        <v/>
      </c>
      <c r="R449" s="10">
        <f>Financials[[#This Row],[ Profit ]]/Financials[[#This Row],[  Sales ]]</f>
        <v/>
      </c>
      <c r="S449" s="2">
        <f>Financials[[#This Row],[ COGS ]]/Financials[[#This Row],[  Sales ]]</f>
        <v/>
      </c>
      <c r="T449" s="3">
        <f>Financials[[#This Row],[ Discounts ]]/Financials[[#This Row],[  Sales ]]</f>
        <v/>
      </c>
      <c r="U449">
        <f>Financials[[#This Row],[  Sales ]]/Financials[[#This Row],[ Units_Sold ]]</f>
        <v/>
      </c>
      <c r="V449">
        <f>Financials[[#This Row],[ Profit ]]/Financials[[#This Row],[ Units_Sold ]]</f>
        <v/>
      </c>
      <c r="W449">
        <f>IF(Financials[[#This Row],[ Profit ]]&lt;0,1,0)</f>
        <v/>
      </c>
    </row>
    <row r="450">
      <c r="A450" t="inlineStr">
        <is>
          <t>Midmarket</t>
        </is>
      </c>
      <c r="B450" t="inlineStr">
        <is>
          <t>Canada</t>
        </is>
      </c>
      <c r="C450" t="inlineStr">
        <is>
          <t xml:space="preserve"> Amarilla </t>
        </is>
      </c>
      <c r="D450" t="inlineStr">
        <is>
          <t xml:space="preserve"> Medium </t>
        </is>
      </c>
      <c r="E450" t="n">
        <v>1630.5</v>
      </c>
      <c r="F450" s="69" t="n">
        <v>260</v>
      </c>
      <c r="G450" s="69" t="n">
        <v>15</v>
      </c>
      <c r="H450" s="69" t="n">
        <v>24457.5</v>
      </c>
      <c r="I450" s="5" t="n">
        <v>2201.18</v>
      </c>
      <c r="J450" s="69" t="n">
        <v>22256.33</v>
      </c>
      <c r="K450" s="69" t="n">
        <v>16305</v>
      </c>
      <c r="L450" s="69" t="n">
        <v>5951.33</v>
      </c>
      <c r="M450" s="1" t="n">
        <v>41646</v>
      </c>
      <c r="N450" t="n">
        <v>7</v>
      </c>
      <c r="O450" t="inlineStr">
        <is>
          <t xml:space="preserve"> July </t>
        </is>
      </c>
      <c r="P450" t="n">
        <v>2014</v>
      </c>
      <c r="Q450">
        <f>IF(Financials[[#This Row],[ Units_Sold ]]&lt;&gt;INT(Financials[[#This Row],[ Units_Sold ]]),1,0)</f>
        <v/>
      </c>
      <c r="R450" s="10">
        <f>Financials[[#This Row],[ Profit ]]/Financials[[#This Row],[  Sales ]]</f>
        <v/>
      </c>
      <c r="S450" s="2">
        <f>Financials[[#This Row],[ COGS ]]/Financials[[#This Row],[  Sales ]]</f>
        <v/>
      </c>
      <c r="T450" s="3">
        <f>Financials[[#This Row],[ Discounts ]]/Financials[[#This Row],[  Sales ]]</f>
        <v/>
      </c>
      <c r="U450">
        <f>Financials[[#This Row],[  Sales ]]/Financials[[#This Row],[ Units_Sold ]]</f>
        <v/>
      </c>
      <c r="V450">
        <f>Financials[[#This Row],[ Profit ]]/Financials[[#This Row],[ Units_Sold ]]</f>
        <v/>
      </c>
      <c r="W450">
        <f>IF(Financials[[#This Row],[ Profit ]]&lt;0,1,0)</f>
        <v/>
      </c>
    </row>
    <row r="451">
      <c r="A451" t="inlineStr">
        <is>
          <t>Channel Partners</t>
        </is>
      </c>
      <c r="B451" t="inlineStr">
        <is>
          <t>France</t>
        </is>
      </c>
      <c r="C451" t="inlineStr">
        <is>
          <t xml:space="preserve"> Amarilla </t>
        </is>
      </c>
      <c r="D451" t="inlineStr">
        <is>
          <t xml:space="preserve"> Medium </t>
        </is>
      </c>
      <c r="E451" t="n">
        <v>306</v>
      </c>
      <c r="F451" s="69" t="n">
        <v>260</v>
      </c>
      <c r="G451" s="69" t="n">
        <v>12</v>
      </c>
      <c r="H451" s="69" t="n">
        <v>3672</v>
      </c>
      <c r="I451" s="5" t="n">
        <v>330.48</v>
      </c>
      <c r="J451" s="69" t="n">
        <v>3341.52</v>
      </c>
      <c r="K451" s="69" t="n">
        <v>918</v>
      </c>
      <c r="L451" s="69" t="n">
        <v>2423.52</v>
      </c>
      <c r="M451" s="1" t="n">
        <v>41286</v>
      </c>
      <c r="N451" t="n">
        <v>12</v>
      </c>
      <c r="O451" t="inlineStr">
        <is>
          <t xml:space="preserve"> December </t>
        </is>
      </c>
      <c r="P451" t="n">
        <v>2013</v>
      </c>
      <c r="Q451">
        <f>IF(Financials[[#This Row],[ Units_Sold ]]&lt;&gt;INT(Financials[[#This Row],[ Units_Sold ]]),1,0)</f>
        <v/>
      </c>
      <c r="R451" s="10">
        <f>Financials[[#This Row],[ Profit ]]/Financials[[#This Row],[  Sales ]]</f>
        <v/>
      </c>
      <c r="S451" s="2">
        <f>Financials[[#This Row],[ COGS ]]/Financials[[#This Row],[  Sales ]]</f>
        <v/>
      </c>
      <c r="T451" s="3">
        <f>Financials[[#This Row],[ Discounts ]]/Financials[[#This Row],[  Sales ]]</f>
        <v/>
      </c>
      <c r="U451">
        <f>Financials[[#This Row],[  Sales ]]/Financials[[#This Row],[ Units_Sold ]]</f>
        <v/>
      </c>
      <c r="V451">
        <f>Financials[[#This Row],[ Profit ]]/Financials[[#This Row],[ Units_Sold ]]</f>
        <v/>
      </c>
      <c r="W451">
        <f>IF(Financials[[#This Row],[ Profit ]]&lt;0,1,0)</f>
        <v/>
      </c>
    </row>
    <row r="452">
      <c r="A452" t="inlineStr">
        <is>
          <t>Channel Partners</t>
        </is>
      </c>
      <c r="B452" t="inlineStr">
        <is>
          <t>United States of America</t>
        </is>
      </c>
      <c r="C452" t="inlineStr">
        <is>
          <t xml:space="preserve"> Carretera </t>
        </is>
      </c>
      <c r="D452" t="inlineStr">
        <is>
          <t xml:space="preserve"> High </t>
        </is>
      </c>
      <c r="E452" t="n">
        <v>386</v>
      </c>
      <c r="F452" s="69" t="n">
        <v>3</v>
      </c>
      <c r="G452" s="69" t="n">
        <v>12</v>
      </c>
      <c r="H452" s="69" t="n">
        <v>4632</v>
      </c>
      <c r="I452" s="5" t="n">
        <v>463.2</v>
      </c>
      <c r="J452" s="69" t="n">
        <v>4168.8</v>
      </c>
      <c r="K452" s="69" t="n">
        <v>1158</v>
      </c>
      <c r="L452" s="69" t="n">
        <v>3010.8</v>
      </c>
      <c r="M452" s="1" t="n">
        <v>41284</v>
      </c>
      <c r="N452" t="n">
        <v>10</v>
      </c>
      <c r="O452" t="inlineStr">
        <is>
          <t xml:space="preserve"> October </t>
        </is>
      </c>
      <c r="P452" t="n">
        <v>2013</v>
      </c>
      <c r="Q452">
        <f>IF(Financials[[#This Row],[ Units_Sold ]]&lt;&gt;INT(Financials[[#This Row],[ Units_Sold ]]),1,0)</f>
        <v/>
      </c>
      <c r="R452" s="10">
        <f>Financials[[#This Row],[ Profit ]]/Financials[[#This Row],[  Sales ]]</f>
        <v/>
      </c>
      <c r="S452" s="2">
        <f>Financials[[#This Row],[ COGS ]]/Financials[[#This Row],[  Sales ]]</f>
        <v/>
      </c>
      <c r="T452" s="3">
        <f>Financials[[#This Row],[ Discounts ]]/Financials[[#This Row],[  Sales ]]</f>
        <v/>
      </c>
      <c r="U452">
        <f>Financials[[#This Row],[  Sales ]]/Financials[[#This Row],[ Units_Sold ]]</f>
        <v/>
      </c>
      <c r="V452">
        <f>Financials[[#This Row],[ Profit ]]/Financials[[#This Row],[ Units_Sold ]]</f>
        <v/>
      </c>
      <c r="W452">
        <f>IF(Financials[[#This Row],[ Profit ]]&lt;0,1,0)</f>
        <v/>
      </c>
    </row>
    <row r="453">
      <c r="A453" t="inlineStr">
        <is>
          <t>Government</t>
        </is>
      </c>
      <c r="B453" t="inlineStr">
        <is>
          <t>United States of America</t>
        </is>
      </c>
      <c r="C453" t="inlineStr">
        <is>
          <t xml:space="preserve"> Montana </t>
        </is>
      </c>
      <c r="D453" t="inlineStr">
        <is>
          <t xml:space="preserve"> High </t>
        </is>
      </c>
      <c r="E453" t="n">
        <v>2328</v>
      </c>
      <c r="F453" s="69" t="n">
        <v>5</v>
      </c>
      <c r="G453" s="69" t="n">
        <v>7</v>
      </c>
      <c r="H453" s="69" t="n">
        <v>16296</v>
      </c>
      <c r="I453" s="5" t="n">
        <v>1629.6</v>
      </c>
      <c r="J453" s="69" t="n">
        <v>14666.4</v>
      </c>
      <c r="K453" s="69" t="n">
        <v>11640</v>
      </c>
      <c r="L453" s="69" t="n">
        <v>3026.4</v>
      </c>
      <c r="M453" s="1" t="n">
        <v>41648</v>
      </c>
      <c r="N453" t="n">
        <v>9</v>
      </c>
      <c r="O453" t="inlineStr">
        <is>
          <t xml:space="preserve"> September </t>
        </is>
      </c>
      <c r="P453" t="n">
        <v>2014</v>
      </c>
      <c r="Q453">
        <f>IF(Financials[[#This Row],[ Units_Sold ]]&lt;&gt;INT(Financials[[#This Row],[ Units_Sold ]]),1,0)</f>
        <v/>
      </c>
      <c r="R453" s="10">
        <f>Financials[[#This Row],[ Profit ]]/Financials[[#This Row],[  Sales ]]</f>
        <v/>
      </c>
      <c r="S453" s="2">
        <f>Financials[[#This Row],[ COGS ]]/Financials[[#This Row],[  Sales ]]</f>
        <v/>
      </c>
      <c r="T453" s="3">
        <f>Financials[[#This Row],[ Discounts ]]/Financials[[#This Row],[  Sales ]]</f>
        <v/>
      </c>
      <c r="U453">
        <f>Financials[[#This Row],[  Sales ]]/Financials[[#This Row],[ Units_Sold ]]</f>
        <v/>
      </c>
      <c r="V453">
        <f>Financials[[#This Row],[ Profit ]]/Financials[[#This Row],[ Units_Sold ]]</f>
        <v/>
      </c>
      <c r="W453">
        <f>IF(Financials[[#This Row],[ Profit ]]&lt;0,1,0)</f>
        <v/>
      </c>
    </row>
    <row r="454">
      <c r="A454" t="inlineStr">
        <is>
          <t>Channel Partners</t>
        </is>
      </c>
      <c r="B454" t="inlineStr">
        <is>
          <t>United States of America</t>
        </is>
      </c>
      <c r="C454" t="inlineStr">
        <is>
          <t xml:space="preserve"> Paseo </t>
        </is>
      </c>
      <c r="D454" t="inlineStr">
        <is>
          <t xml:space="preserve"> High </t>
        </is>
      </c>
      <c r="E454" t="n">
        <v>386</v>
      </c>
      <c r="F454" s="69" t="n">
        <v>10</v>
      </c>
      <c r="G454" s="69" t="n">
        <v>12</v>
      </c>
      <c r="H454" s="69" t="n">
        <v>4632</v>
      </c>
      <c r="I454" s="5" t="n">
        <v>463.2</v>
      </c>
      <c r="J454" s="69" t="n">
        <v>4168.8</v>
      </c>
      <c r="K454" s="69" t="n">
        <v>1158</v>
      </c>
      <c r="L454" s="69" t="n">
        <v>3010.8</v>
      </c>
      <c r="M454" s="1" t="n">
        <v>41284</v>
      </c>
      <c r="N454" t="n">
        <v>10</v>
      </c>
      <c r="O454" t="inlineStr">
        <is>
          <t xml:space="preserve"> October </t>
        </is>
      </c>
      <c r="P454" t="n">
        <v>2013</v>
      </c>
      <c r="Q454">
        <f>IF(Financials[[#This Row],[ Units_Sold ]]&lt;&gt;INT(Financials[[#This Row],[ Units_Sold ]]),1,0)</f>
        <v/>
      </c>
      <c r="R454" s="10">
        <f>Financials[[#This Row],[ Profit ]]/Financials[[#This Row],[  Sales ]]</f>
        <v/>
      </c>
      <c r="S454" s="2">
        <f>Financials[[#This Row],[ COGS ]]/Financials[[#This Row],[  Sales ]]</f>
        <v/>
      </c>
      <c r="T454" s="3">
        <f>Financials[[#This Row],[ Discounts ]]/Financials[[#This Row],[  Sales ]]</f>
        <v/>
      </c>
      <c r="U454">
        <f>Financials[[#This Row],[  Sales ]]/Financials[[#This Row],[ Units_Sold ]]</f>
        <v/>
      </c>
      <c r="V454">
        <f>Financials[[#This Row],[ Profit ]]/Financials[[#This Row],[ Units_Sold ]]</f>
        <v/>
      </c>
      <c r="W454">
        <f>IF(Financials[[#This Row],[ Profit ]]&lt;0,1,0)</f>
        <v/>
      </c>
    </row>
    <row r="455">
      <c r="A455" t="inlineStr">
        <is>
          <t>Enterprise</t>
        </is>
      </c>
      <c r="B455" t="inlineStr">
        <is>
          <t>United States of America</t>
        </is>
      </c>
      <c r="C455" t="inlineStr">
        <is>
          <t xml:space="preserve"> Carretera </t>
        </is>
      </c>
      <c r="D455" t="inlineStr">
        <is>
          <t xml:space="preserve"> High </t>
        </is>
      </c>
      <c r="E455" t="n">
        <v>3445.5</v>
      </c>
      <c r="F455" s="69" t="n">
        <v>3</v>
      </c>
      <c r="G455" s="69" t="n">
        <v>125</v>
      </c>
      <c r="H455" s="69" t="n">
        <v>430687.5</v>
      </c>
      <c r="I455" s="5" t="n">
        <v>43068.75</v>
      </c>
      <c r="J455" s="69" t="n">
        <v>387618.75</v>
      </c>
      <c r="K455" s="69" t="n">
        <v>413460</v>
      </c>
      <c r="L455" s="69" t="n">
        <v>-25841.25</v>
      </c>
      <c r="M455" s="1" t="n">
        <v>41643</v>
      </c>
      <c r="N455" t="n">
        <v>4</v>
      </c>
      <c r="O455" t="inlineStr">
        <is>
          <t xml:space="preserve"> April </t>
        </is>
      </c>
      <c r="P455" t="n">
        <v>2014</v>
      </c>
      <c r="Q455">
        <f>IF(Financials[[#This Row],[ Units_Sold ]]&lt;&gt;INT(Financials[[#This Row],[ Units_Sold ]]),1,0)</f>
        <v/>
      </c>
      <c r="R455" s="10">
        <f>Financials[[#This Row],[ Profit ]]/Financials[[#This Row],[  Sales ]]</f>
        <v/>
      </c>
      <c r="S455" s="2">
        <f>Financials[[#This Row],[ COGS ]]/Financials[[#This Row],[  Sales ]]</f>
        <v/>
      </c>
      <c r="T455" s="3">
        <f>Financials[[#This Row],[ Discounts ]]/Financials[[#This Row],[  Sales ]]</f>
        <v/>
      </c>
      <c r="U455">
        <f>Financials[[#This Row],[  Sales ]]/Financials[[#This Row],[ Units_Sold ]]</f>
        <v/>
      </c>
      <c r="V455">
        <f>Financials[[#This Row],[ Profit ]]/Financials[[#This Row],[ Units_Sold ]]</f>
        <v/>
      </c>
      <c r="W455">
        <f>IF(Financials[[#This Row],[ Profit ]]&lt;0,1,0)</f>
        <v/>
      </c>
    </row>
    <row r="456">
      <c r="A456" t="inlineStr">
        <is>
          <t>Enterprise</t>
        </is>
      </c>
      <c r="B456" t="inlineStr">
        <is>
          <t>France</t>
        </is>
      </c>
      <c r="C456" t="inlineStr">
        <is>
          <t xml:space="preserve"> Carretera </t>
        </is>
      </c>
      <c r="D456" t="inlineStr">
        <is>
          <t xml:space="preserve"> High </t>
        </is>
      </c>
      <c r="E456" t="n">
        <v>1482</v>
      </c>
      <c r="F456" s="69" t="n">
        <v>3</v>
      </c>
      <c r="G456" s="69" t="n">
        <v>125</v>
      </c>
      <c r="H456" s="69" t="n">
        <v>185250</v>
      </c>
      <c r="I456" s="5" t="n">
        <v>18525</v>
      </c>
      <c r="J456" s="69" t="n">
        <v>166725</v>
      </c>
      <c r="K456" s="69" t="n">
        <v>177840</v>
      </c>
      <c r="L456" s="69" t="n">
        <v>-11115</v>
      </c>
      <c r="M456" s="1" t="n">
        <v>41286</v>
      </c>
      <c r="N456" t="n">
        <v>12</v>
      </c>
      <c r="O456" t="inlineStr">
        <is>
          <t xml:space="preserve"> December </t>
        </is>
      </c>
      <c r="P456" t="n">
        <v>2013</v>
      </c>
      <c r="Q456">
        <f>IF(Financials[[#This Row],[ Units_Sold ]]&lt;&gt;INT(Financials[[#This Row],[ Units_Sold ]]),1,0)</f>
        <v/>
      </c>
      <c r="R456" s="10">
        <f>Financials[[#This Row],[ Profit ]]/Financials[[#This Row],[  Sales ]]</f>
        <v/>
      </c>
      <c r="S456" s="2">
        <f>Financials[[#This Row],[ COGS ]]/Financials[[#This Row],[  Sales ]]</f>
        <v/>
      </c>
      <c r="T456" s="3">
        <f>Financials[[#This Row],[ Discounts ]]/Financials[[#This Row],[  Sales ]]</f>
        <v/>
      </c>
      <c r="U456">
        <f>Financials[[#This Row],[  Sales ]]/Financials[[#This Row],[ Units_Sold ]]</f>
        <v/>
      </c>
      <c r="V456">
        <f>Financials[[#This Row],[ Profit ]]/Financials[[#This Row],[ Units_Sold ]]</f>
        <v/>
      </c>
      <c r="W456">
        <f>IF(Financials[[#This Row],[ Profit ]]&lt;0,1,0)</f>
        <v/>
      </c>
    </row>
    <row r="457">
      <c r="A457" t="inlineStr">
        <is>
          <t>Government</t>
        </is>
      </c>
      <c r="B457" t="inlineStr">
        <is>
          <t>United States of America</t>
        </is>
      </c>
      <c r="C457" t="inlineStr">
        <is>
          <t xml:space="preserve"> Montana </t>
        </is>
      </c>
      <c r="D457" t="inlineStr">
        <is>
          <t xml:space="preserve"> High </t>
        </is>
      </c>
      <c r="E457" t="n">
        <v>2313</v>
      </c>
      <c r="F457" s="69" t="n">
        <v>5</v>
      </c>
      <c r="G457" s="69" t="n">
        <v>350</v>
      </c>
      <c r="H457" s="69" t="n">
        <v>809550</v>
      </c>
      <c r="I457" s="5" t="n">
        <v>80955</v>
      </c>
      <c r="J457" s="69" t="n">
        <v>728595</v>
      </c>
      <c r="K457" s="69" t="n">
        <v>601380</v>
      </c>
      <c r="L457" s="69" t="n">
        <v>127215</v>
      </c>
      <c r="M457" s="1" t="n">
        <v>41644</v>
      </c>
      <c r="N457" t="n">
        <v>5</v>
      </c>
      <c r="O457" t="inlineStr">
        <is>
          <t xml:space="preserve"> May </t>
        </is>
      </c>
      <c r="P457" t="n">
        <v>2014</v>
      </c>
      <c r="Q457">
        <f>IF(Financials[[#This Row],[ Units_Sold ]]&lt;&gt;INT(Financials[[#This Row],[ Units_Sold ]]),1,0)</f>
        <v/>
      </c>
      <c r="R457" s="10">
        <f>Financials[[#This Row],[ Profit ]]/Financials[[#This Row],[  Sales ]]</f>
        <v/>
      </c>
      <c r="S457" s="2">
        <f>Financials[[#This Row],[ COGS ]]/Financials[[#This Row],[  Sales ]]</f>
        <v/>
      </c>
      <c r="T457" s="3">
        <f>Financials[[#This Row],[ Discounts ]]/Financials[[#This Row],[  Sales ]]</f>
        <v/>
      </c>
      <c r="U457">
        <f>Financials[[#This Row],[  Sales ]]/Financials[[#This Row],[ Units_Sold ]]</f>
        <v/>
      </c>
      <c r="V457">
        <f>Financials[[#This Row],[ Profit ]]/Financials[[#This Row],[ Units_Sold ]]</f>
        <v/>
      </c>
      <c r="W457">
        <f>IF(Financials[[#This Row],[ Profit ]]&lt;0,1,0)</f>
        <v/>
      </c>
    </row>
    <row r="458">
      <c r="A458" t="inlineStr">
        <is>
          <t>Enterprise</t>
        </is>
      </c>
      <c r="B458" t="inlineStr">
        <is>
          <t>United States of America</t>
        </is>
      </c>
      <c r="C458" t="inlineStr">
        <is>
          <t xml:space="preserve"> Montana </t>
        </is>
      </c>
      <c r="D458" t="inlineStr">
        <is>
          <t xml:space="preserve"> High </t>
        </is>
      </c>
      <c r="E458" t="n">
        <v>1804</v>
      </c>
      <c r="F458" s="69" t="n">
        <v>5</v>
      </c>
      <c r="G458" s="69" t="n">
        <v>125</v>
      </c>
      <c r="H458" s="69" t="n">
        <v>225500</v>
      </c>
      <c r="I458" s="5" t="n">
        <v>22550</v>
      </c>
      <c r="J458" s="69" t="n">
        <v>202950</v>
      </c>
      <c r="K458" s="69" t="n">
        <v>216480</v>
      </c>
      <c r="L458" s="69" t="n">
        <v>-13530</v>
      </c>
      <c r="M458" s="1" t="n">
        <v>41285</v>
      </c>
      <c r="N458" t="n">
        <v>11</v>
      </c>
      <c r="O458" t="inlineStr">
        <is>
          <t xml:space="preserve"> November </t>
        </is>
      </c>
      <c r="P458" t="n">
        <v>2013</v>
      </c>
      <c r="Q458">
        <f>IF(Financials[[#This Row],[ Units_Sold ]]&lt;&gt;INT(Financials[[#This Row],[ Units_Sold ]]),1,0)</f>
        <v/>
      </c>
      <c r="R458" s="10">
        <f>Financials[[#This Row],[ Profit ]]/Financials[[#This Row],[  Sales ]]</f>
        <v/>
      </c>
      <c r="S458" s="2">
        <f>Financials[[#This Row],[ COGS ]]/Financials[[#This Row],[  Sales ]]</f>
        <v/>
      </c>
      <c r="T458" s="3">
        <f>Financials[[#This Row],[ Discounts ]]/Financials[[#This Row],[  Sales ]]</f>
        <v/>
      </c>
      <c r="U458">
        <f>Financials[[#This Row],[  Sales ]]/Financials[[#This Row],[ Units_Sold ]]</f>
        <v/>
      </c>
      <c r="V458">
        <f>Financials[[#This Row],[ Profit ]]/Financials[[#This Row],[ Units_Sold ]]</f>
        <v/>
      </c>
      <c r="W458">
        <f>IF(Financials[[#This Row],[ Profit ]]&lt;0,1,0)</f>
        <v/>
      </c>
    </row>
    <row r="459">
      <c r="A459" t="inlineStr">
        <is>
          <t>Midmarket</t>
        </is>
      </c>
      <c r="B459" t="inlineStr">
        <is>
          <t>France</t>
        </is>
      </c>
      <c r="C459" t="inlineStr">
        <is>
          <t xml:space="preserve"> Montana </t>
        </is>
      </c>
      <c r="D459" t="inlineStr">
        <is>
          <t xml:space="preserve"> High </t>
        </is>
      </c>
      <c r="E459" t="n">
        <v>2072</v>
      </c>
      <c r="F459" s="69" t="n">
        <v>5</v>
      </c>
      <c r="G459" s="69" t="n">
        <v>15</v>
      </c>
      <c r="H459" s="69" t="n">
        <v>31080</v>
      </c>
      <c r="I459" s="5" t="n">
        <v>3108</v>
      </c>
      <c r="J459" s="69" t="n">
        <v>27972</v>
      </c>
      <c r="K459" s="69" t="n">
        <v>20720</v>
      </c>
      <c r="L459" s="69" t="n">
        <v>7252</v>
      </c>
      <c r="M459" s="1" t="n">
        <v>41651</v>
      </c>
      <c r="N459" t="n">
        <v>12</v>
      </c>
      <c r="O459" t="inlineStr">
        <is>
          <t xml:space="preserve"> December </t>
        </is>
      </c>
      <c r="P459" t="n">
        <v>2014</v>
      </c>
      <c r="Q459">
        <f>IF(Financials[[#This Row],[ Units_Sold ]]&lt;&gt;INT(Financials[[#This Row],[ Units_Sold ]]),1,0)</f>
        <v/>
      </c>
      <c r="R459" s="10">
        <f>Financials[[#This Row],[ Profit ]]/Financials[[#This Row],[  Sales ]]</f>
        <v/>
      </c>
      <c r="S459" s="2">
        <f>Financials[[#This Row],[ COGS ]]/Financials[[#This Row],[  Sales ]]</f>
        <v/>
      </c>
      <c r="T459" s="3">
        <f>Financials[[#This Row],[ Discounts ]]/Financials[[#This Row],[  Sales ]]</f>
        <v/>
      </c>
      <c r="U459">
        <f>Financials[[#This Row],[  Sales ]]/Financials[[#This Row],[ Units_Sold ]]</f>
        <v/>
      </c>
      <c r="V459">
        <f>Financials[[#This Row],[ Profit ]]/Financials[[#This Row],[ Units_Sold ]]</f>
        <v/>
      </c>
      <c r="W459">
        <f>IF(Financials[[#This Row],[ Profit ]]&lt;0,1,0)</f>
        <v/>
      </c>
    </row>
    <row r="460">
      <c r="A460" t="inlineStr">
        <is>
          <t>Government</t>
        </is>
      </c>
      <c r="B460" t="inlineStr">
        <is>
          <t>France</t>
        </is>
      </c>
      <c r="C460" t="inlineStr">
        <is>
          <t xml:space="preserve"> Paseo </t>
        </is>
      </c>
      <c r="D460" t="inlineStr">
        <is>
          <t xml:space="preserve"> High </t>
        </is>
      </c>
      <c r="E460" t="n">
        <v>1954</v>
      </c>
      <c r="F460" s="69" t="n">
        <v>10</v>
      </c>
      <c r="G460" s="69" t="n">
        <v>20</v>
      </c>
      <c r="H460" s="69" t="n">
        <v>39080</v>
      </c>
      <c r="I460" s="5" t="n">
        <v>3908</v>
      </c>
      <c r="J460" s="69" t="n">
        <v>35172</v>
      </c>
      <c r="K460" s="69" t="n">
        <v>19540</v>
      </c>
      <c r="L460" s="69" t="n">
        <v>15632</v>
      </c>
      <c r="M460" s="1" t="n">
        <v>41642</v>
      </c>
      <c r="N460" t="n">
        <v>3</v>
      </c>
      <c r="O460" t="inlineStr">
        <is>
          <t xml:space="preserve"> March </t>
        </is>
      </c>
      <c r="P460" t="n">
        <v>2014</v>
      </c>
      <c r="Q460">
        <f>IF(Financials[[#This Row],[ Units_Sold ]]&lt;&gt;INT(Financials[[#This Row],[ Units_Sold ]]),1,0)</f>
        <v/>
      </c>
      <c r="R460" s="10">
        <f>Financials[[#This Row],[ Profit ]]/Financials[[#This Row],[  Sales ]]</f>
        <v/>
      </c>
      <c r="S460" s="2">
        <f>Financials[[#This Row],[ COGS ]]/Financials[[#This Row],[  Sales ]]</f>
        <v/>
      </c>
      <c r="T460" s="3">
        <f>Financials[[#This Row],[ Discounts ]]/Financials[[#This Row],[  Sales ]]</f>
        <v/>
      </c>
      <c r="U460">
        <f>Financials[[#This Row],[  Sales ]]/Financials[[#This Row],[ Units_Sold ]]</f>
        <v/>
      </c>
      <c r="V460">
        <f>Financials[[#This Row],[ Profit ]]/Financials[[#This Row],[ Units_Sold ]]</f>
        <v/>
      </c>
      <c r="W460">
        <f>IF(Financials[[#This Row],[ Profit ]]&lt;0,1,0)</f>
        <v/>
      </c>
    </row>
    <row r="461">
      <c r="A461" t="inlineStr">
        <is>
          <t>Small Business</t>
        </is>
      </c>
      <c r="B461" t="inlineStr">
        <is>
          <t>Mexico</t>
        </is>
      </c>
      <c r="C461" t="inlineStr">
        <is>
          <t xml:space="preserve"> Paseo </t>
        </is>
      </c>
      <c r="D461" t="inlineStr">
        <is>
          <t xml:space="preserve"> High </t>
        </is>
      </c>
      <c r="E461" t="n">
        <v>591</v>
      </c>
      <c r="F461" s="69" t="n">
        <v>10</v>
      </c>
      <c r="G461" s="69" t="n">
        <v>300</v>
      </c>
      <c r="H461" s="69" t="n">
        <v>177300</v>
      </c>
      <c r="I461" s="5" t="n">
        <v>17730</v>
      </c>
      <c r="J461" s="69" t="n">
        <v>159570</v>
      </c>
      <c r="K461" s="69" t="n">
        <v>147750</v>
      </c>
      <c r="L461" s="69" t="n">
        <v>11820</v>
      </c>
      <c r="M461" s="1" t="n">
        <v>41644</v>
      </c>
      <c r="N461" t="n">
        <v>5</v>
      </c>
      <c r="O461" t="inlineStr">
        <is>
          <t xml:space="preserve"> May </t>
        </is>
      </c>
      <c r="P461" t="n">
        <v>2014</v>
      </c>
      <c r="Q461">
        <f>IF(Financials[[#This Row],[ Units_Sold ]]&lt;&gt;INT(Financials[[#This Row],[ Units_Sold ]]),1,0)</f>
        <v/>
      </c>
      <c r="R461" s="10">
        <f>Financials[[#This Row],[ Profit ]]/Financials[[#This Row],[  Sales ]]</f>
        <v/>
      </c>
      <c r="S461" s="2">
        <f>Financials[[#This Row],[ COGS ]]/Financials[[#This Row],[  Sales ]]</f>
        <v/>
      </c>
      <c r="T461" s="3">
        <f>Financials[[#This Row],[ Discounts ]]/Financials[[#This Row],[  Sales ]]</f>
        <v/>
      </c>
      <c r="U461">
        <f>Financials[[#This Row],[  Sales ]]/Financials[[#This Row],[ Units_Sold ]]</f>
        <v/>
      </c>
      <c r="V461">
        <f>Financials[[#This Row],[ Profit ]]/Financials[[#This Row],[ Units_Sold ]]</f>
        <v/>
      </c>
      <c r="W461">
        <f>IF(Financials[[#This Row],[ Profit ]]&lt;0,1,0)</f>
        <v/>
      </c>
    </row>
    <row r="462">
      <c r="A462" t="inlineStr">
        <is>
          <t>Midmarket</t>
        </is>
      </c>
      <c r="B462" t="inlineStr">
        <is>
          <t>France</t>
        </is>
      </c>
      <c r="C462" t="inlineStr">
        <is>
          <t xml:space="preserve"> Paseo </t>
        </is>
      </c>
      <c r="D462" t="inlineStr">
        <is>
          <t xml:space="preserve"> High </t>
        </is>
      </c>
      <c r="E462" t="n">
        <v>2167</v>
      </c>
      <c r="F462" s="69" t="n">
        <v>10</v>
      </c>
      <c r="G462" s="69" t="n">
        <v>15</v>
      </c>
      <c r="H462" s="69" t="n">
        <v>32505</v>
      </c>
      <c r="I462" s="5" t="n">
        <v>3250.5</v>
      </c>
      <c r="J462" s="69" t="n">
        <v>29254.5</v>
      </c>
      <c r="K462" s="69" t="n">
        <v>21670</v>
      </c>
      <c r="L462" s="69" t="n">
        <v>7584.5</v>
      </c>
      <c r="M462" s="1" t="n">
        <v>41284</v>
      </c>
      <c r="N462" t="n">
        <v>10</v>
      </c>
      <c r="O462" t="inlineStr">
        <is>
          <t xml:space="preserve"> October </t>
        </is>
      </c>
      <c r="P462" t="n">
        <v>2013</v>
      </c>
      <c r="Q462">
        <f>IF(Financials[[#This Row],[ Units_Sold ]]&lt;&gt;INT(Financials[[#This Row],[ Units_Sold ]]),1,0)</f>
        <v/>
      </c>
      <c r="R462" s="10">
        <f>Financials[[#This Row],[ Profit ]]/Financials[[#This Row],[  Sales ]]</f>
        <v/>
      </c>
      <c r="S462" s="2">
        <f>Financials[[#This Row],[ COGS ]]/Financials[[#This Row],[  Sales ]]</f>
        <v/>
      </c>
      <c r="T462" s="3">
        <f>Financials[[#This Row],[ Discounts ]]/Financials[[#This Row],[  Sales ]]</f>
        <v/>
      </c>
      <c r="U462">
        <f>Financials[[#This Row],[  Sales ]]/Financials[[#This Row],[ Units_Sold ]]</f>
        <v/>
      </c>
      <c r="V462">
        <f>Financials[[#This Row],[ Profit ]]/Financials[[#This Row],[ Units_Sold ]]</f>
        <v/>
      </c>
      <c r="W462">
        <f>IF(Financials[[#This Row],[ Profit ]]&lt;0,1,0)</f>
        <v/>
      </c>
    </row>
    <row r="463">
      <c r="A463" t="inlineStr">
        <is>
          <t>Government</t>
        </is>
      </c>
      <c r="B463" t="inlineStr">
        <is>
          <t>Germany</t>
        </is>
      </c>
      <c r="C463" t="inlineStr">
        <is>
          <t xml:space="preserve"> Paseo </t>
        </is>
      </c>
      <c r="D463" t="inlineStr">
        <is>
          <t xml:space="preserve"> High </t>
        </is>
      </c>
      <c r="E463" t="n">
        <v>241</v>
      </c>
      <c r="F463" s="69" t="n">
        <v>10</v>
      </c>
      <c r="G463" s="69" t="n">
        <v>20</v>
      </c>
      <c r="H463" s="69" t="n">
        <v>4820</v>
      </c>
      <c r="I463" s="5" t="n">
        <v>482</v>
      </c>
      <c r="J463" s="69" t="n">
        <v>4338</v>
      </c>
      <c r="K463" s="69" t="n">
        <v>2410</v>
      </c>
      <c r="L463" s="69" t="n">
        <v>1928</v>
      </c>
      <c r="M463" s="1" t="n">
        <v>41649</v>
      </c>
      <c r="N463" t="n">
        <v>10</v>
      </c>
      <c r="O463" t="inlineStr">
        <is>
          <t xml:space="preserve"> October </t>
        </is>
      </c>
      <c r="P463" t="n">
        <v>2014</v>
      </c>
      <c r="Q463">
        <f>IF(Financials[[#This Row],[ Units_Sold ]]&lt;&gt;INT(Financials[[#This Row],[ Units_Sold ]]),1,0)</f>
        <v/>
      </c>
      <c r="R463" s="10">
        <f>Financials[[#This Row],[ Profit ]]/Financials[[#This Row],[  Sales ]]</f>
        <v/>
      </c>
      <c r="S463" s="2">
        <f>Financials[[#This Row],[ COGS ]]/Financials[[#This Row],[  Sales ]]</f>
        <v/>
      </c>
      <c r="T463" s="3">
        <f>Financials[[#This Row],[ Discounts ]]/Financials[[#This Row],[  Sales ]]</f>
        <v/>
      </c>
      <c r="U463">
        <f>Financials[[#This Row],[  Sales ]]/Financials[[#This Row],[ Units_Sold ]]</f>
        <v/>
      </c>
      <c r="V463">
        <f>Financials[[#This Row],[ Profit ]]/Financials[[#This Row],[ Units_Sold ]]</f>
        <v/>
      </c>
      <c r="W463">
        <f>IF(Financials[[#This Row],[ Profit ]]&lt;0,1,0)</f>
        <v/>
      </c>
    </row>
    <row r="464">
      <c r="A464" t="inlineStr">
        <is>
          <t>Midmarket</t>
        </is>
      </c>
      <c r="B464" t="inlineStr">
        <is>
          <t>Germany</t>
        </is>
      </c>
      <c r="C464" t="inlineStr">
        <is>
          <t xml:space="preserve"> Velo </t>
        </is>
      </c>
      <c r="D464" t="inlineStr">
        <is>
          <t xml:space="preserve"> High </t>
        </is>
      </c>
      <c r="E464" t="n">
        <v>681</v>
      </c>
      <c r="F464" s="69" t="n">
        <v>120</v>
      </c>
      <c r="G464" s="69" t="n">
        <v>15</v>
      </c>
      <c r="H464" s="69" t="n">
        <v>10215</v>
      </c>
      <c r="I464" s="5" t="n">
        <v>1021.5</v>
      </c>
      <c r="J464" s="69" t="n">
        <v>9193.5</v>
      </c>
      <c r="K464" s="69" t="n">
        <v>6810</v>
      </c>
      <c r="L464" s="69" t="n">
        <v>2383.5</v>
      </c>
      <c r="M464" s="1" t="n">
        <v>41640</v>
      </c>
      <c r="N464" t="n">
        <v>1</v>
      </c>
      <c r="O464" t="inlineStr">
        <is>
          <t xml:space="preserve"> January </t>
        </is>
      </c>
      <c r="P464" t="n">
        <v>2014</v>
      </c>
      <c r="Q464">
        <f>IF(Financials[[#This Row],[ Units_Sold ]]&lt;&gt;INT(Financials[[#This Row],[ Units_Sold ]]),1,0)</f>
        <v/>
      </c>
      <c r="R464" s="10">
        <f>Financials[[#This Row],[ Profit ]]/Financials[[#This Row],[  Sales ]]</f>
        <v/>
      </c>
      <c r="S464" s="2">
        <f>Financials[[#This Row],[ COGS ]]/Financials[[#This Row],[  Sales ]]</f>
        <v/>
      </c>
      <c r="T464" s="3">
        <f>Financials[[#This Row],[ Discounts ]]/Financials[[#This Row],[  Sales ]]</f>
        <v/>
      </c>
      <c r="U464">
        <f>Financials[[#This Row],[  Sales ]]/Financials[[#This Row],[ Units_Sold ]]</f>
        <v/>
      </c>
      <c r="V464">
        <f>Financials[[#This Row],[ Profit ]]/Financials[[#This Row],[ Units_Sold ]]</f>
        <v/>
      </c>
      <c r="W464">
        <f>IF(Financials[[#This Row],[ Profit ]]&lt;0,1,0)</f>
        <v/>
      </c>
    </row>
    <row r="465">
      <c r="A465" t="inlineStr">
        <is>
          <t>Midmarket</t>
        </is>
      </c>
      <c r="B465" t="inlineStr">
        <is>
          <t>Germany</t>
        </is>
      </c>
      <c r="C465" t="inlineStr">
        <is>
          <t xml:space="preserve"> Velo </t>
        </is>
      </c>
      <c r="D465" t="inlineStr">
        <is>
          <t xml:space="preserve"> High </t>
        </is>
      </c>
      <c r="E465" t="n">
        <v>510</v>
      </c>
      <c r="F465" s="69" t="n">
        <v>120</v>
      </c>
      <c r="G465" s="69" t="n">
        <v>15</v>
      </c>
      <c r="H465" s="69" t="n">
        <v>7650</v>
      </c>
      <c r="I465" s="5" t="n">
        <v>765</v>
      </c>
      <c r="J465" s="69" t="n">
        <v>6885</v>
      </c>
      <c r="K465" s="69" t="n">
        <v>5100</v>
      </c>
      <c r="L465" s="69" t="n">
        <v>1785</v>
      </c>
      <c r="M465" s="1" t="n">
        <v>41643</v>
      </c>
      <c r="N465" t="n">
        <v>4</v>
      </c>
      <c r="O465" t="inlineStr">
        <is>
          <t xml:space="preserve"> April </t>
        </is>
      </c>
      <c r="P465" t="n">
        <v>2014</v>
      </c>
      <c r="Q465">
        <f>IF(Financials[[#This Row],[ Units_Sold ]]&lt;&gt;INT(Financials[[#This Row],[ Units_Sold ]]),1,0)</f>
        <v/>
      </c>
      <c r="R465" s="10">
        <f>Financials[[#This Row],[ Profit ]]/Financials[[#This Row],[  Sales ]]</f>
        <v/>
      </c>
      <c r="S465" s="2">
        <f>Financials[[#This Row],[ COGS ]]/Financials[[#This Row],[  Sales ]]</f>
        <v/>
      </c>
      <c r="T465" s="3">
        <f>Financials[[#This Row],[ Discounts ]]/Financials[[#This Row],[  Sales ]]</f>
        <v/>
      </c>
      <c r="U465">
        <f>Financials[[#This Row],[  Sales ]]/Financials[[#This Row],[ Units_Sold ]]</f>
        <v/>
      </c>
      <c r="V465">
        <f>Financials[[#This Row],[ Profit ]]/Financials[[#This Row],[ Units_Sold ]]</f>
        <v/>
      </c>
      <c r="W465">
        <f>IF(Financials[[#This Row],[ Profit ]]&lt;0,1,0)</f>
        <v/>
      </c>
    </row>
    <row r="466">
      <c r="A466" t="inlineStr">
        <is>
          <t>Midmarket</t>
        </is>
      </c>
      <c r="B466" t="inlineStr">
        <is>
          <t>United States of America</t>
        </is>
      </c>
      <c r="C466" t="inlineStr">
        <is>
          <t xml:space="preserve"> Velo </t>
        </is>
      </c>
      <c r="D466" t="inlineStr">
        <is>
          <t xml:space="preserve"> High </t>
        </is>
      </c>
      <c r="E466" t="n">
        <v>790</v>
      </c>
      <c r="F466" s="69" t="n">
        <v>120</v>
      </c>
      <c r="G466" s="69" t="n">
        <v>15</v>
      </c>
      <c r="H466" s="69" t="n">
        <v>11850</v>
      </c>
      <c r="I466" s="5" t="n">
        <v>1185</v>
      </c>
      <c r="J466" s="69" t="n">
        <v>10665</v>
      </c>
      <c r="K466" s="69" t="n">
        <v>7900</v>
      </c>
      <c r="L466" s="69" t="n">
        <v>2765</v>
      </c>
      <c r="M466" s="1" t="n">
        <v>41644</v>
      </c>
      <c r="N466" t="n">
        <v>5</v>
      </c>
      <c r="O466" t="inlineStr">
        <is>
          <t xml:space="preserve"> May </t>
        </is>
      </c>
      <c r="P466" t="n">
        <v>2014</v>
      </c>
      <c r="Q466">
        <f>IF(Financials[[#This Row],[ Units_Sold ]]&lt;&gt;INT(Financials[[#This Row],[ Units_Sold ]]),1,0)</f>
        <v/>
      </c>
      <c r="R466" s="10">
        <f>Financials[[#This Row],[ Profit ]]/Financials[[#This Row],[  Sales ]]</f>
        <v/>
      </c>
      <c r="S466" s="2">
        <f>Financials[[#This Row],[ COGS ]]/Financials[[#This Row],[  Sales ]]</f>
        <v/>
      </c>
      <c r="T466" s="3">
        <f>Financials[[#This Row],[ Discounts ]]/Financials[[#This Row],[  Sales ]]</f>
        <v/>
      </c>
      <c r="U466">
        <f>Financials[[#This Row],[  Sales ]]/Financials[[#This Row],[ Units_Sold ]]</f>
        <v/>
      </c>
      <c r="V466">
        <f>Financials[[#This Row],[ Profit ]]/Financials[[#This Row],[ Units_Sold ]]</f>
        <v/>
      </c>
      <c r="W466">
        <f>IF(Financials[[#This Row],[ Profit ]]&lt;0,1,0)</f>
        <v/>
      </c>
    </row>
    <row r="467">
      <c r="A467" t="inlineStr">
        <is>
          <t>Government</t>
        </is>
      </c>
      <c r="B467" t="inlineStr">
        <is>
          <t>France</t>
        </is>
      </c>
      <c r="C467" t="inlineStr">
        <is>
          <t xml:space="preserve"> Velo </t>
        </is>
      </c>
      <c r="D467" t="inlineStr">
        <is>
          <t xml:space="preserve"> High </t>
        </is>
      </c>
      <c r="E467" t="n">
        <v>639</v>
      </c>
      <c r="F467" s="69" t="n">
        <v>120</v>
      </c>
      <c r="G467" s="69" t="n">
        <v>350</v>
      </c>
      <c r="H467" s="69" t="n">
        <v>223650</v>
      </c>
      <c r="I467" s="5" t="n">
        <v>22365</v>
      </c>
      <c r="J467" s="69" t="n">
        <v>201285</v>
      </c>
      <c r="K467" s="69" t="n">
        <v>166140</v>
      </c>
      <c r="L467" s="69" t="n">
        <v>35145</v>
      </c>
      <c r="M467" s="1" t="n">
        <v>41646</v>
      </c>
      <c r="N467" t="n">
        <v>7</v>
      </c>
      <c r="O467" t="inlineStr">
        <is>
          <t xml:space="preserve"> July </t>
        </is>
      </c>
      <c r="P467" t="n">
        <v>2014</v>
      </c>
      <c r="Q467">
        <f>IF(Financials[[#This Row],[ Units_Sold ]]&lt;&gt;INT(Financials[[#This Row],[ Units_Sold ]]),1,0)</f>
        <v/>
      </c>
      <c r="R467" s="10">
        <f>Financials[[#This Row],[ Profit ]]/Financials[[#This Row],[  Sales ]]</f>
        <v/>
      </c>
      <c r="S467" s="2">
        <f>Financials[[#This Row],[ COGS ]]/Financials[[#This Row],[  Sales ]]</f>
        <v/>
      </c>
      <c r="T467" s="3">
        <f>Financials[[#This Row],[ Discounts ]]/Financials[[#This Row],[  Sales ]]</f>
        <v/>
      </c>
      <c r="U467">
        <f>Financials[[#This Row],[  Sales ]]/Financials[[#This Row],[ Units_Sold ]]</f>
        <v/>
      </c>
      <c r="V467">
        <f>Financials[[#This Row],[ Profit ]]/Financials[[#This Row],[ Units_Sold ]]</f>
        <v/>
      </c>
      <c r="W467">
        <f>IF(Financials[[#This Row],[ Profit ]]&lt;0,1,0)</f>
        <v/>
      </c>
    </row>
    <row r="468">
      <c r="A468" t="inlineStr">
        <is>
          <t>Enterprise</t>
        </is>
      </c>
      <c r="B468" t="inlineStr">
        <is>
          <t>United States of America</t>
        </is>
      </c>
      <c r="C468" t="inlineStr">
        <is>
          <t xml:space="preserve"> Velo </t>
        </is>
      </c>
      <c r="D468" t="inlineStr">
        <is>
          <t xml:space="preserve"> High </t>
        </is>
      </c>
      <c r="E468" t="n">
        <v>1596</v>
      </c>
      <c r="F468" s="69" t="n">
        <v>120</v>
      </c>
      <c r="G468" s="69" t="n">
        <v>125</v>
      </c>
      <c r="H468" s="69" t="n">
        <v>199500</v>
      </c>
      <c r="I468" s="5" t="n">
        <v>19950</v>
      </c>
      <c r="J468" s="69" t="n">
        <v>179550</v>
      </c>
      <c r="K468" s="69" t="n">
        <v>191520</v>
      </c>
      <c r="L468" s="69" t="n">
        <v>-11970</v>
      </c>
      <c r="M468" s="1" t="n">
        <v>41648</v>
      </c>
      <c r="N468" t="n">
        <v>9</v>
      </c>
      <c r="O468" t="inlineStr">
        <is>
          <t xml:space="preserve"> September </t>
        </is>
      </c>
      <c r="P468" t="n">
        <v>2014</v>
      </c>
      <c r="Q468">
        <f>IF(Financials[[#This Row],[ Units_Sold ]]&lt;&gt;INT(Financials[[#This Row],[ Units_Sold ]]),1,0)</f>
        <v/>
      </c>
      <c r="R468" s="10">
        <f>Financials[[#This Row],[ Profit ]]/Financials[[#This Row],[  Sales ]]</f>
        <v/>
      </c>
      <c r="S468" s="2">
        <f>Financials[[#This Row],[ COGS ]]/Financials[[#This Row],[  Sales ]]</f>
        <v/>
      </c>
      <c r="T468" s="3">
        <f>Financials[[#This Row],[ Discounts ]]/Financials[[#This Row],[  Sales ]]</f>
        <v/>
      </c>
      <c r="U468">
        <f>Financials[[#This Row],[  Sales ]]/Financials[[#This Row],[ Units_Sold ]]</f>
        <v/>
      </c>
      <c r="V468">
        <f>Financials[[#This Row],[ Profit ]]/Financials[[#This Row],[ Units_Sold ]]</f>
        <v/>
      </c>
      <c r="W468">
        <f>IF(Financials[[#This Row],[ Profit ]]&lt;0,1,0)</f>
        <v/>
      </c>
    </row>
    <row r="469">
      <c r="A469" t="inlineStr">
        <is>
          <t>Small Business</t>
        </is>
      </c>
      <c r="B469" t="inlineStr">
        <is>
          <t>United States of America</t>
        </is>
      </c>
      <c r="C469" t="inlineStr">
        <is>
          <t xml:space="preserve"> Velo </t>
        </is>
      </c>
      <c r="D469" t="inlineStr">
        <is>
          <t xml:space="preserve"> High </t>
        </is>
      </c>
      <c r="E469" t="n">
        <v>2294</v>
      </c>
      <c r="F469" s="69" t="n">
        <v>120</v>
      </c>
      <c r="G469" s="69" t="n">
        <v>300</v>
      </c>
      <c r="H469" s="69" t="n">
        <v>688200</v>
      </c>
      <c r="I469" s="5" t="n">
        <v>68820</v>
      </c>
      <c r="J469" s="69" t="n">
        <v>619380</v>
      </c>
      <c r="K469" s="69" t="n">
        <v>573500</v>
      </c>
      <c r="L469" s="69" t="n">
        <v>45880</v>
      </c>
      <c r="M469" s="1" t="n">
        <v>41284</v>
      </c>
      <c r="N469" t="n">
        <v>10</v>
      </c>
      <c r="O469" t="inlineStr">
        <is>
          <t xml:space="preserve"> October </t>
        </is>
      </c>
      <c r="P469" t="n">
        <v>2013</v>
      </c>
      <c r="Q469">
        <f>IF(Financials[[#This Row],[ Units_Sold ]]&lt;&gt;INT(Financials[[#This Row],[ Units_Sold ]]),1,0)</f>
        <v/>
      </c>
      <c r="R469" s="10">
        <f>Financials[[#This Row],[ Profit ]]/Financials[[#This Row],[  Sales ]]</f>
        <v/>
      </c>
      <c r="S469" s="2">
        <f>Financials[[#This Row],[ COGS ]]/Financials[[#This Row],[  Sales ]]</f>
        <v/>
      </c>
      <c r="T469" s="3">
        <f>Financials[[#This Row],[ Discounts ]]/Financials[[#This Row],[  Sales ]]</f>
        <v/>
      </c>
      <c r="U469">
        <f>Financials[[#This Row],[  Sales ]]/Financials[[#This Row],[ Units_Sold ]]</f>
        <v/>
      </c>
      <c r="V469">
        <f>Financials[[#This Row],[ Profit ]]/Financials[[#This Row],[ Units_Sold ]]</f>
        <v/>
      </c>
      <c r="W469">
        <f>IF(Financials[[#This Row],[ Profit ]]&lt;0,1,0)</f>
        <v/>
      </c>
    </row>
    <row r="470">
      <c r="A470" t="inlineStr">
        <is>
          <t>Government</t>
        </is>
      </c>
      <c r="B470" t="inlineStr">
        <is>
          <t>Germany</t>
        </is>
      </c>
      <c r="C470" t="inlineStr">
        <is>
          <t xml:space="preserve"> Velo </t>
        </is>
      </c>
      <c r="D470" t="inlineStr">
        <is>
          <t xml:space="preserve"> High </t>
        </is>
      </c>
      <c r="E470" t="n">
        <v>241</v>
      </c>
      <c r="F470" s="69" t="n">
        <v>120</v>
      </c>
      <c r="G470" s="69" t="n">
        <v>20</v>
      </c>
      <c r="H470" s="69" t="n">
        <v>4820</v>
      </c>
      <c r="I470" s="5" t="n">
        <v>482</v>
      </c>
      <c r="J470" s="69" t="n">
        <v>4338</v>
      </c>
      <c r="K470" s="69" t="n">
        <v>2410</v>
      </c>
      <c r="L470" s="69" t="n">
        <v>1928</v>
      </c>
      <c r="M470" s="1" t="n">
        <v>41649</v>
      </c>
      <c r="N470" t="n">
        <v>10</v>
      </c>
      <c r="O470" t="inlineStr">
        <is>
          <t xml:space="preserve"> October </t>
        </is>
      </c>
      <c r="P470" t="n">
        <v>2014</v>
      </c>
      <c r="Q470">
        <f>IF(Financials[[#This Row],[ Units_Sold ]]&lt;&gt;INT(Financials[[#This Row],[ Units_Sold ]]),1,0)</f>
        <v/>
      </c>
      <c r="R470" s="10">
        <f>Financials[[#This Row],[ Profit ]]/Financials[[#This Row],[  Sales ]]</f>
        <v/>
      </c>
      <c r="S470" s="2">
        <f>Financials[[#This Row],[ COGS ]]/Financials[[#This Row],[  Sales ]]</f>
        <v/>
      </c>
      <c r="T470" s="3">
        <f>Financials[[#This Row],[ Discounts ]]/Financials[[#This Row],[  Sales ]]</f>
        <v/>
      </c>
      <c r="U470">
        <f>Financials[[#This Row],[  Sales ]]/Financials[[#This Row],[ Units_Sold ]]</f>
        <v/>
      </c>
      <c r="V470">
        <f>Financials[[#This Row],[ Profit ]]/Financials[[#This Row],[ Units_Sold ]]</f>
        <v/>
      </c>
      <c r="W470">
        <f>IF(Financials[[#This Row],[ Profit ]]&lt;0,1,0)</f>
        <v/>
      </c>
    </row>
    <row r="471">
      <c r="A471" t="inlineStr">
        <is>
          <t>Government</t>
        </is>
      </c>
      <c r="B471" t="inlineStr">
        <is>
          <t>Germany</t>
        </is>
      </c>
      <c r="C471" t="inlineStr">
        <is>
          <t xml:space="preserve"> Velo </t>
        </is>
      </c>
      <c r="D471" t="inlineStr">
        <is>
          <t xml:space="preserve"> High </t>
        </is>
      </c>
      <c r="E471" t="n">
        <v>2665</v>
      </c>
      <c r="F471" s="69" t="n">
        <v>120</v>
      </c>
      <c r="G471" s="69" t="n">
        <v>7</v>
      </c>
      <c r="H471" s="69" t="n">
        <v>18655</v>
      </c>
      <c r="I471" s="5" t="n">
        <v>1865.5</v>
      </c>
      <c r="J471" s="69" t="n">
        <v>16789.5</v>
      </c>
      <c r="K471" s="69" t="n">
        <v>13325</v>
      </c>
      <c r="L471" s="69" t="n">
        <v>3464.5</v>
      </c>
      <c r="M471" s="1" t="n">
        <v>41650</v>
      </c>
      <c r="N471" t="n">
        <v>11</v>
      </c>
      <c r="O471" t="inlineStr">
        <is>
          <t xml:space="preserve"> November </t>
        </is>
      </c>
      <c r="P471" t="n">
        <v>2014</v>
      </c>
      <c r="Q471">
        <f>IF(Financials[[#This Row],[ Units_Sold ]]&lt;&gt;INT(Financials[[#This Row],[ Units_Sold ]]),1,0)</f>
        <v/>
      </c>
      <c r="R471" s="10">
        <f>Financials[[#This Row],[ Profit ]]/Financials[[#This Row],[  Sales ]]</f>
        <v/>
      </c>
      <c r="S471" s="2">
        <f>Financials[[#This Row],[ COGS ]]/Financials[[#This Row],[  Sales ]]</f>
        <v/>
      </c>
      <c r="T471" s="3">
        <f>Financials[[#This Row],[ Discounts ]]/Financials[[#This Row],[  Sales ]]</f>
        <v/>
      </c>
      <c r="U471">
        <f>Financials[[#This Row],[  Sales ]]/Financials[[#This Row],[ Units_Sold ]]</f>
        <v/>
      </c>
      <c r="V471">
        <f>Financials[[#This Row],[ Profit ]]/Financials[[#This Row],[ Units_Sold ]]</f>
        <v/>
      </c>
      <c r="W471">
        <f>IF(Financials[[#This Row],[ Profit ]]&lt;0,1,0)</f>
        <v/>
      </c>
    </row>
    <row r="472">
      <c r="A472" t="inlineStr">
        <is>
          <t>Enterprise</t>
        </is>
      </c>
      <c r="B472" t="inlineStr">
        <is>
          <t>Canada</t>
        </is>
      </c>
      <c r="C472" t="inlineStr">
        <is>
          <t xml:space="preserve"> Velo </t>
        </is>
      </c>
      <c r="D472" t="inlineStr">
        <is>
          <t xml:space="preserve"> High </t>
        </is>
      </c>
      <c r="E472" t="n">
        <v>1916</v>
      </c>
      <c r="F472" s="69" t="n">
        <v>120</v>
      </c>
      <c r="G472" s="69" t="n">
        <v>125</v>
      </c>
      <c r="H472" s="69" t="n">
        <v>239500</v>
      </c>
      <c r="I472" s="5" t="n">
        <v>23950</v>
      </c>
      <c r="J472" s="69" t="n">
        <v>215550</v>
      </c>
      <c r="K472" s="69" t="n">
        <v>229920</v>
      </c>
      <c r="L472" s="69" t="n">
        <v>-14370</v>
      </c>
      <c r="M472" s="1" t="n">
        <v>41286</v>
      </c>
      <c r="N472" t="n">
        <v>12</v>
      </c>
      <c r="O472" t="inlineStr">
        <is>
          <t xml:space="preserve"> December </t>
        </is>
      </c>
      <c r="P472" t="n">
        <v>2013</v>
      </c>
      <c r="Q472">
        <f>IF(Financials[[#This Row],[ Units_Sold ]]&lt;&gt;INT(Financials[[#This Row],[ Units_Sold ]]),1,0)</f>
        <v/>
      </c>
      <c r="R472" s="10">
        <f>Financials[[#This Row],[ Profit ]]/Financials[[#This Row],[  Sales ]]</f>
        <v/>
      </c>
      <c r="S472" s="2">
        <f>Financials[[#This Row],[ COGS ]]/Financials[[#This Row],[  Sales ]]</f>
        <v/>
      </c>
      <c r="T472" s="3">
        <f>Financials[[#This Row],[ Discounts ]]/Financials[[#This Row],[  Sales ]]</f>
        <v/>
      </c>
      <c r="U472">
        <f>Financials[[#This Row],[  Sales ]]/Financials[[#This Row],[ Units_Sold ]]</f>
        <v/>
      </c>
      <c r="V472">
        <f>Financials[[#This Row],[ Profit ]]/Financials[[#This Row],[ Units_Sold ]]</f>
        <v/>
      </c>
      <c r="W472">
        <f>IF(Financials[[#This Row],[ Profit ]]&lt;0,1,0)</f>
        <v/>
      </c>
    </row>
    <row r="473">
      <c r="A473" t="inlineStr">
        <is>
          <t>Small Business</t>
        </is>
      </c>
      <c r="B473" t="inlineStr">
        <is>
          <t>France</t>
        </is>
      </c>
      <c r="C473" t="inlineStr">
        <is>
          <t xml:space="preserve"> Velo </t>
        </is>
      </c>
      <c r="D473" t="inlineStr">
        <is>
          <t xml:space="preserve"> High </t>
        </is>
      </c>
      <c r="E473" t="n">
        <v>853</v>
      </c>
      <c r="F473" s="69" t="n">
        <v>120</v>
      </c>
      <c r="G473" s="69" t="n">
        <v>300</v>
      </c>
      <c r="H473" s="69" t="n">
        <v>255900</v>
      </c>
      <c r="I473" s="5" t="n">
        <v>25590</v>
      </c>
      <c r="J473" s="69" t="n">
        <v>230310</v>
      </c>
      <c r="K473" s="69" t="n">
        <v>213250</v>
      </c>
      <c r="L473" s="69" t="n">
        <v>17060</v>
      </c>
      <c r="M473" s="1" t="n">
        <v>41651</v>
      </c>
      <c r="N473" t="n">
        <v>12</v>
      </c>
      <c r="O473" t="inlineStr">
        <is>
          <t xml:space="preserve"> December </t>
        </is>
      </c>
      <c r="P473" t="n">
        <v>2014</v>
      </c>
      <c r="Q473">
        <f>IF(Financials[[#This Row],[ Units_Sold ]]&lt;&gt;INT(Financials[[#This Row],[ Units_Sold ]]),1,0)</f>
        <v/>
      </c>
      <c r="R473" s="10">
        <f>Financials[[#This Row],[ Profit ]]/Financials[[#This Row],[  Sales ]]</f>
        <v/>
      </c>
      <c r="S473" s="2">
        <f>Financials[[#This Row],[ COGS ]]/Financials[[#This Row],[  Sales ]]</f>
        <v/>
      </c>
      <c r="T473" s="3">
        <f>Financials[[#This Row],[ Discounts ]]/Financials[[#This Row],[  Sales ]]</f>
        <v/>
      </c>
      <c r="U473">
        <f>Financials[[#This Row],[  Sales ]]/Financials[[#This Row],[ Units_Sold ]]</f>
        <v/>
      </c>
      <c r="V473">
        <f>Financials[[#This Row],[ Profit ]]/Financials[[#This Row],[ Units_Sold ]]</f>
        <v/>
      </c>
      <c r="W473">
        <f>IF(Financials[[#This Row],[ Profit ]]&lt;0,1,0)</f>
        <v/>
      </c>
    </row>
    <row r="474">
      <c r="A474" t="inlineStr">
        <is>
          <t>Enterprise</t>
        </is>
      </c>
      <c r="B474" t="inlineStr">
        <is>
          <t>Mexico</t>
        </is>
      </c>
      <c r="C474" t="inlineStr">
        <is>
          <t xml:space="preserve"> VTT </t>
        </is>
      </c>
      <c r="D474" t="inlineStr">
        <is>
          <t xml:space="preserve"> High </t>
        </is>
      </c>
      <c r="E474" t="n">
        <v>341</v>
      </c>
      <c r="F474" s="69" t="n">
        <v>250</v>
      </c>
      <c r="G474" s="69" t="n">
        <v>125</v>
      </c>
      <c r="H474" s="69" t="n">
        <v>42625</v>
      </c>
      <c r="I474" s="5" t="n">
        <v>4262.5</v>
      </c>
      <c r="J474" s="69" t="n">
        <v>38362.5</v>
      </c>
      <c r="K474" s="69" t="n">
        <v>40920</v>
      </c>
      <c r="L474" s="69" t="n">
        <v>-2557.5</v>
      </c>
      <c r="M474" s="1" t="n">
        <v>41644</v>
      </c>
      <c r="N474" t="n">
        <v>5</v>
      </c>
      <c r="O474" t="inlineStr">
        <is>
          <t xml:space="preserve"> May </t>
        </is>
      </c>
      <c r="P474" t="n">
        <v>2014</v>
      </c>
      <c r="Q474">
        <f>IF(Financials[[#This Row],[ Units_Sold ]]&lt;&gt;INT(Financials[[#This Row],[ Units_Sold ]]),1,0)</f>
        <v/>
      </c>
      <c r="R474" s="10">
        <f>Financials[[#This Row],[ Profit ]]/Financials[[#This Row],[  Sales ]]</f>
        <v/>
      </c>
      <c r="S474" s="2">
        <f>Financials[[#This Row],[ COGS ]]/Financials[[#This Row],[  Sales ]]</f>
        <v/>
      </c>
      <c r="T474" s="3">
        <f>Financials[[#This Row],[ Discounts ]]/Financials[[#This Row],[  Sales ]]</f>
        <v/>
      </c>
      <c r="U474">
        <f>Financials[[#This Row],[  Sales ]]/Financials[[#This Row],[ Units_Sold ]]</f>
        <v/>
      </c>
      <c r="V474">
        <f>Financials[[#This Row],[ Profit ]]/Financials[[#This Row],[ Units_Sold ]]</f>
        <v/>
      </c>
      <c r="W474">
        <f>IF(Financials[[#This Row],[ Profit ]]&lt;0,1,0)</f>
        <v/>
      </c>
    </row>
    <row r="475">
      <c r="A475" t="inlineStr">
        <is>
          <t>Midmarket</t>
        </is>
      </c>
      <c r="B475" t="inlineStr">
        <is>
          <t>Mexico</t>
        </is>
      </c>
      <c r="C475" t="inlineStr">
        <is>
          <t xml:space="preserve"> VTT </t>
        </is>
      </c>
      <c r="D475" t="inlineStr">
        <is>
          <t xml:space="preserve"> High </t>
        </is>
      </c>
      <c r="E475" t="n">
        <v>641</v>
      </c>
      <c r="F475" s="69" t="n">
        <v>250</v>
      </c>
      <c r="G475" s="69" t="n">
        <v>15</v>
      </c>
      <c r="H475" s="69" t="n">
        <v>9615</v>
      </c>
      <c r="I475" s="5" t="n">
        <v>961.5</v>
      </c>
      <c r="J475" s="69" t="n">
        <v>8653.5</v>
      </c>
      <c r="K475" s="69" t="n">
        <v>6410</v>
      </c>
      <c r="L475" s="69" t="n">
        <v>2243.5</v>
      </c>
      <c r="M475" s="1" t="n">
        <v>41646</v>
      </c>
      <c r="N475" t="n">
        <v>7</v>
      </c>
      <c r="O475" t="inlineStr">
        <is>
          <t xml:space="preserve"> July </t>
        </is>
      </c>
      <c r="P475" t="n">
        <v>2014</v>
      </c>
      <c r="Q475">
        <f>IF(Financials[[#This Row],[ Units_Sold ]]&lt;&gt;INT(Financials[[#This Row],[ Units_Sold ]]),1,0)</f>
        <v/>
      </c>
      <c r="R475" s="10">
        <f>Financials[[#This Row],[ Profit ]]/Financials[[#This Row],[  Sales ]]</f>
        <v/>
      </c>
      <c r="S475" s="2">
        <f>Financials[[#This Row],[ COGS ]]/Financials[[#This Row],[  Sales ]]</f>
        <v/>
      </c>
      <c r="T475" s="3">
        <f>Financials[[#This Row],[ Discounts ]]/Financials[[#This Row],[  Sales ]]</f>
        <v/>
      </c>
      <c r="U475">
        <f>Financials[[#This Row],[  Sales ]]/Financials[[#This Row],[ Units_Sold ]]</f>
        <v/>
      </c>
      <c r="V475">
        <f>Financials[[#This Row],[ Profit ]]/Financials[[#This Row],[ Units_Sold ]]</f>
        <v/>
      </c>
      <c r="W475">
        <f>IF(Financials[[#This Row],[ Profit ]]&lt;0,1,0)</f>
        <v/>
      </c>
    </row>
    <row r="476">
      <c r="A476" t="inlineStr">
        <is>
          <t>Government</t>
        </is>
      </c>
      <c r="B476" t="inlineStr">
        <is>
          <t>United States of America</t>
        </is>
      </c>
      <c r="C476" t="inlineStr">
        <is>
          <t xml:space="preserve"> VTT </t>
        </is>
      </c>
      <c r="D476" t="inlineStr">
        <is>
          <t xml:space="preserve"> High </t>
        </is>
      </c>
      <c r="E476" t="n">
        <v>2807</v>
      </c>
      <c r="F476" s="69" t="n">
        <v>250</v>
      </c>
      <c r="G476" s="69" t="n">
        <v>350</v>
      </c>
      <c r="H476" s="69" t="n">
        <v>982450</v>
      </c>
      <c r="I476" s="5" t="n">
        <v>98245</v>
      </c>
      <c r="J476" s="69" t="n">
        <v>884205</v>
      </c>
      <c r="K476" s="69" t="n">
        <v>729820</v>
      </c>
      <c r="L476" s="69" t="n">
        <v>154385</v>
      </c>
      <c r="M476" s="1" t="n">
        <v>41647</v>
      </c>
      <c r="N476" t="n">
        <v>8</v>
      </c>
      <c r="O476" t="inlineStr">
        <is>
          <t xml:space="preserve"> August </t>
        </is>
      </c>
      <c r="P476" t="n">
        <v>2014</v>
      </c>
      <c r="Q476">
        <f>IF(Financials[[#This Row],[ Units_Sold ]]&lt;&gt;INT(Financials[[#This Row],[ Units_Sold ]]),1,0)</f>
        <v/>
      </c>
      <c r="R476" s="10">
        <f>Financials[[#This Row],[ Profit ]]/Financials[[#This Row],[  Sales ]]</f>
        <v/>
      </c>
      <c r="S476" s="2">
        <f>Financials[[#This Row],[ COGS ]]/Financials[[#This Row],[  Sales ]]</f>
        <v/>
      </c>
      <c r="T476" s="3">
        <f>Financials[[#This Row],[ Discounts ]]/Financials[[#This Row],[  Sales ]]</f>
        <v/>
      </c>
      <c r="U476">
        <f>Financials[[#This Row],[  Sales ]]/Financials[[#This Row],[ Units_Sold ]]</f>
        <v/>
      </c>
      <c r="V476">
        <f>Financials[[#This Row],[ Profit ]]/Financials[[#This Row],[ Units_Sold ]]</f>
        <v/>
      </c>
      <c r="W476">
        <f>IF(Financials[[#This Row],[ Profit ]]&lt;0,1,0)</f>
        <v/>
      </c>
    </row>
    <row r="477">
      <c r="A477" t="inlineStr">
        <is>
          <t>Small Business</t>
        </is>
      </c>
      <c r="B477" t="inlineStr">
        <is>
          <t>Mexico</t>
        </is>
      </c>
      <c r="C477" t="inlineStr">
        <is>
          <t xml:space="preserve"> VTT </t>
        </is>
      </c>
      <c r="D477" t="inlineStr">
        <is>
          <t xml:space="preserve"> High </t>
        </is>
      </c>
      <c r="E477" t="n">
        <v>432</v>
      </c>
      <c r="F477" s="69" t="n">
        <v>250</v>
      </c>
      <c r="G477" s="69" t="n">
        <v>300</v>
      </c>
      <c r="H477" s="69" t="n">
        <v>129600</v>
      </c>
      <c r="I477" s="5" t="n">
        <v>12960</v>
      </c>
      <c r="J477" s="69" t="n">
        <v>116640</v>
      </c>
      <c r="K477" s="69" t="n">
        <v>108000</v>
      </c>
      <c r="L477" s="69" t="n">
        <v>8640</v>
      </c>
      <c r="M477" s="1" t="n">
        <v>41648</v>
      </c>
      <c r="N477" t="n">
        <v>9</v>
      </c>
      <c r="O477" t="inlineStr">
        <is>
          <t xml:space="preserve"> September </t>
        </is>
      </c>
      <c r="P477" t="n">
        <v>2014</v>
      </c>
      <c r="Q477">
        <f>IF(Financials[[#This Row],[ Units_Sold ]]&lt;&gt;INT(Financials[[#This Row],[ Units_Sold ]]),1,0)</f>
        <v/>
      </c>
      <c r="R477" s="10">
        <f>Financials[[#This Row],[ Profit ]]/Financials[[#This Row],[  Sales ]]</f>
        <v/>
      </c>
      <c r="S477" s="2">
        <f>Financials[[#This Row],[ COGS ]]/Financials[[#This Row],[  Sales ]]</f>
        <v/>
      </c>
      <c r="T477" s="3">
        <f>Financials[[#This Row],[ Discounts ]]/Financials[[#This Row],[  Sales ]]</f>
        <v/>
      </c>
      <c r="U477">
        <f>Financials[[#This Row],[  Sales ]]/Financials[[#This Row],[ Units_Sold ]]</f>
        <v/>
      </c>
      <c r="V477">
        <f>Financials[[#This Row],[ Profit ]]/Financials[[#This Row],[ Units_Sold ]]</f>
        <v/>
      </c>
      <c r="W477">
        <f>IF(Financials[[#This Row],[ Profit ]]&lt;0,1,0)</f>
        <v/>
      </c>
    </row>
    <row r="478">
      <c r="A478" t="inlineStr">
        <is>
          <t>Small Business</t>
        </is>
      </c>
      <c r="B478" t="inlineStr">
        <is>
          <t>United States of America</t>
        </is>
      </c>
      <c r="C478" t="inlineStr">
        <is>
          <t xml:space="preserve"> VTT </t>
        </is>
      </c>
      <c r="D478" t="inlineStr">
        <is>
          <t xml:space="preserve"> High </t>
        </is>
      </c>
      <c r="E478" t="n">
        <v>2294</v>
      </c>
      <c r="F478" s="69" t="n">
        <v>250</v>
      </c>
      <c r="G478" s="69" t="n">
        <v>300</v>
      </c>
      <c r="H478" s="69" t="n">
        <v>688200</v>
      </c>
      <c r="I478" s="5" t="n">
        <v>68820</v>
      </c>
      <c r="J478" s="69" t="n">
        <v>619380</v>
      </c>
      <c r="K478" s="69" t="n">
        <v>573500</v>
      </c>
      <c r="L478" s="69" t="n">
        <v>45880</v>
      </c>
      <c r="M478" s="1" t="n">
        <v>41284</v>
      </c>
      <c r="N478" t="n">
        <v>10</v>
      </c>
      <c r="O478" t="inlineStr">
        <is>
          <t xml:space="preserve"> October </t>
        </is>
      </c>
      <c r="P478" t="n">
        <v>2013</v>
      </c>
      <c r="Q478">
        <f>IF(Financials[[#This Row],[ Units_Sold ]]&lt;&gt;INT(Financials[[#This Row],[ Units_Sold ]]),1,0)</f>
        <v/>
      </c>
      <c r="R478" s="10">
        <f>Financials[[#This Row],[ Profit ]]/Financials[[#This Row],[  Sales ]]</f>
        <v/>
      </c>
      <c r="S478" s="2">
        <f>Financials[[#This Row],[ COGS ]]/Financials[[#This Row],[  Sales ]]</f>
        <v/>
      </c>
      <c r="T478" s="3">
        <f>Financials[[#This Row],[ Discounts ]]/Financials[[#This Row],[  Sales ]]</f>
        <v/>
      </c>
      <c r="U478">
        <f>Financials[[#This Row],[  Sales ]]/Financials[[#This Row],[ Units_Sold ]]</f>
        <v/>
      </c>
      <c r="V478">
        <f>Financials[[#This Row],[ Profit ]]/Financials[[#This Row],[ Units_Sold ]]</f>
        <v/>
      </c>
      <c r="W478">
        <f>IF(Financials[[#This Row],[ Profit ]]&lt;0,1,0)</f>
        <v/>
      </c>
    </row>
    <row r="479">
      <c r="A479" t="inlineStr">
        <is>
          <t>Midmarket</t>
        </is>
      </c>
      <c r="B479" t="inlineStr">
        <is>
          <t>France</t>
        </is>
      </c>
      <c r="C479" t="inlineStr">
        <is>
          <t xml:space="preserve"> VTT </t>
        </is>
      </c>
      <c r="D479" t="inlineStr">
        <is>
          <t xml:space="preserve"> High </t>
        </is>
      </c>
      <c r="E479" t="n">
        <v>2167</v>
      </c>
      <c r="F479" s="69" t="n">
        <v>250</v>
      </c>
      <c r="G479" s="69" t="n">
        <v>15</v>
      </c>
      <c r="H479" s="69" t="n">
        <v>32505</v>
      </c>
      <c r="I479" s="5" t="n">
        <v>3250.5</v>
      </c>
      <c r="J479" s="69" t="n">
        <v>29254.5</v>
      </c>
      <c r="K479" s="69" t="n">
        <v>21670</v>
      </c>
      <c r="L479" s="69" t="n">
        <v>7584.5</v>
      </c>
      <c r="M479" s="1" t="n">
        <v>41284</v>
      </c>
      <c r="N479" t="n">
        <v>10</v>
      </c>
      <c r="O479" t="inlineStr">
        <is>
          <t xml:space="preserve"> October </t>
        </is>
      </c>
      <c r="P479" t="n">
        <v>2013</v>
      </c>
      <c r="Q479">
        <f>IF(Financials[[#This Row],[ Units_Sold ]]&lt;&gt;INT(Financials[[#This Row],[ Units_Sold ]]),1,0)</f>
        <v/>
      </c>
      <c r="R479" s="10">
        <f>Financials[[#This Row],[ Profit ]]/Financials[[#This Row],[  Sales ]]</f>
        <v/>
      </c>
      <c r="S479" s="2">
        <f>Financials[[#This Row],[ COGS ]]/Financials[[#This Row],[  Sales ]]</f>
        <v/>
      </c>
      <c r="T479" s="3">
        <f>Financials[[#This Row],[ Discounts ]]/Financials[[#This Row],[  Sales ]]</f>
        <v/>
      </c>
      <c r="U479">
        <f>Financials[[#This Row],[  Sales ]]/Financials[[#This Row],[ Units_Sold ]]</f>
        <v/>
      </c>
      <c r="V479">
        <f>Financials[[#This Row],[ Profit ]]/Financials[[#This Row],[ Units_Sold ]]</f>
        <v/>
      </c>
      <c r="W479">
        <f>IF(Financials[[#This Row],[ Profit ]]&lt;0,1,0)</f>
        <v/>
      </c>
    </row>
    <row r="480">
      <c r="A480" t="inlineStr">
        <is>
          <t>Enterprise</t>
        </is>
      </c>
      <c r="B480" t="inlineStr">
        <is>
          <t>Canada</t>
        </is>
      </c>
      <c r="C480" t="inlineStr">
        <is>
          <t xml:space="preserve"> VTT </t>
        </is>
      </c>
      <c r="D480" t="inlineStr">
        <is>
          <t xml:space="preserve"> High </t>
        </is>
      </c>
      <c r="E480" t="n">
        <v>2529</v>
      </c>
      <c r="F480" s="69" t="n">
        <v>250</v>
      </c>
      <c r="G480" s="69" t="n">
        <v>125</v>
      </c>
      <c r="H480" s="69" t="n">
        <v>316125</v>
      </c>
      <c r="I480" s="5" t="n">
        <v>31612.5</v>
      </c>
      <c r="J480" s="69" t="n">
        <v>284512.5</v>
      </c>
      <c r="K480" s="69" t="n">
        <v>303480</v>
      </c>
      <c r="L480" s="69" t="n">
        <v>-18967.5</v>
      </c>
      <c r="M480" s="1" t="n">
        <v>41650</v>
      </c>
      <c r="N480" t="n">
        <v>11</v>
      </c>
      <c r="O480" t="inlineStr">
        <is>
          <t xml:space="preserve"> November </t>
        </is>
      </c>
      <c r="P480" t="n">
        <v>2014</v>
      </c>
      <c r="Q480">
        <f>IF(Financials[[#This Row],[ Units_Sold ]]&lt;&gt;INT(Financials[[#This Row],[ Units_Sold ]]),1,0)</f>
        <v/>
      </c>
      <c r="R480" s="10">
        <f>Financials[[#This Row],[ Profit ]]/Financials[[#This Row],[  Sales ]]</f>
        <v/>
      </c>
      <c r="S480" s="2">
        <f>Financials[[#This Row],[ COGS ]]/Financials[[#This Row],[  Sales ]]</f>
        <v/>
      </c>
      <c r="T480" s="3">
        <f>Financials[[#This Row],[ Discounts ]]/Financials[[#This Row],[  Sales ]]</f>
        <v/>
      </c>
      <c r="U480">
        <f>Financials[[#This Row],[  Sales ]]/Financials[[#This Row],[ Units_Sold ]]</f>
        <v/>
      </c>
      <c r="V480">
        <f>Financials[[#This Row],[ Profit ]]/Financials[[#This Row],[ Units_Sold ]]</f>
        <v/>
      </c>
      <c r="W480">
        <f>IF(Financials[[#This Row],[ Profit ]]&lt;0,1,0)</f>
        <v/>
      </c>
    </row>
    <row r="481">
      <c r="A481" t="inlineStr">
        <is>
          <t>Government</t>
        </is>
      </c>
      <c r="B481" t="inlineStr">
        <is>
          <t>Germany</t>
        </is>
      </c>
      <c r="C481" t="inlineStr">
        <is>
          <t xml:space="preserve"> VTT </t>
        </is>
      </c>
      <c r="D481" t="inlineStr">
        <is>
          <t xml:space="preserve"> High </t>
        </is>
      </c>
      <c r="E481" t="n">
        <v>1870</v>
      </c>
      <c r="F481" s="69" t="n">
        <v>250</v>
      </c>
      <c r="G481" s="69" t="n">
        <v>350</v>
      </c>
      <c r="H481" s="69" t="n">
        <v>654500</v>
      </c>
      <c r="I481" s="5" t="n">
        <v>65450</v>
      </c>
      <c r="J481" s="69" t="n">
        <v>589050</v>
      </c>
      <c r="K481" s="69" t="n">
        <v>486200</v>
      </c>
      <c r="L481" s="69" t="n">
        <v>102850</v>
      </c>
      <c r="M481" s="1" t="n">
        <v>41286</v>
      </c>
      <c r="N481" t="n">
        <v>12</v>
      </c>
      <c r="O481" t="inlineStr">
        <is>
          <t xml:space="preserve"> December </t>
        </is>
      </c>
      <c r="P481" t="n">
        <v>2013</v>
      </c>
      <c r="Q481">
        <f>IF(Financials[[#This Row],[ Units_Sold ]]&lt;&gt;INT(Financials[[#This Row],[ Units_Sold ]]),1,0)</f>
        <v/>
      </c>
      <c r="R481" s="10">
        <f>Financials[[#This Row],[ Profit ]]/Financials[[#This Row],[  Sales ]]</f>
        <v/>
      </c>
      <c r="S481" s="2">
        <f>Financials[[#This Row],[ COGS ]]/Financials[[#This Row],[  Sales ]]</f>
        <v/>
      </c>
      <c r="T481" s="3">
        <f>Financials[[#This Row],[ Discounts ]]/Financials[[#This Row],[  Sales ]]</f>
        <v/>
      </c>
      <c r="U481">
        <f>Financials[[#This Row],[  Sales ]]/Financials[[#This Row],[ Units_Sold ]]</f>
        <v/>
      </c>
      <c r="V481">
        <f>Financials[[#This Row],[ Profit ]]/Financials[[#This Row],[ Units_Sold ]]</f>
        <v/>
      </c>
      <c r="W481">
        <f>IF(Financials[[#This Row],[ Profit ]]&lt;0,1,0)</f>
        <v/>
      </c>
    </row>
    <row r="482">
      <c r="A482" t="inlineStr">
        <is>
          <t>Enterprise</t>
        </is>
      </c>
      <c r="B482" t="inlineStr">
        <is>
          <t>United States of America</t>
        </is>
      </c>
      <c r="C482" t="inlineStr">
        <is>
          <t xml:space="preserve"> Amarilla </t>
        </is>
      </c>
      <c r="D482" t="inlineStr">
        <is>
          <t xml:space="preserve"> High </t>
        </is>
      </c>
      <c r="E482" t="n">
        <v>579</v>
      </c>
      <c r="F482" s="69" t="n">
        <v>260</v>
      </c>
      <c r="G482" s="69" t="n">
        <v>125</v>
      </c>
      <c r="H482" s="69" t="n">
        <v>72375</v>
      </c>
      <c r="I482" s="5" t="n">
        <v>7237.5</v>
      </c>
      <c r="J482" s="69" t="n">
        <v>65137.5</v>
      </c>
      <c r="K482" s="69" t="n">
        <v>69480</v>
      </c>
      <c r="L482" s="69" t="n">
        <v>-4342.5</v>
      </c>
      <c r="M482" s="1" t="n">
        <v>41640</v>
      </c>
      <c r="N482" t="n">
        <v>1</v>
      </c>
      <c r="O482" t="inlineStr">
        <is>
          <t xml:space="preserve"> January </t>
        </is>
      </c>
      <c r="P482" t="n">
        <v>2014</v>
      </c>
      <c r="Q482">
        <f>IF(Financials[[#This Row],[ Units_Sold ]]&lt;&gt;INT(Financials[[#This Row],[ Units_Sold ]]),1,0)</f>
        <v/>
      </c>
      <c r="R482" s="10">
        <f>Financials[[#This Row],[ Profit ]]/Financials[[#This Row],[  Sales ]]</f>
        <v/>
      </c>
      <c r="S482" s="2">
        <f>Financials[[#This Row],[ COGS ]]/Financials[[#This Row],[  Sales ]]</f>
        <v/>
      </c>
      <c r="T482" s="3">
        <f>Financials[[#This Row],[ Discounts ]]/Financials[[#This Row],[  Sales ]]</f>
        <v/>
      </c>
      <c r="U482">
        <f>Financials[[#This Row],[  Sales ]]/Financials[[#This Row],[ Units_Sold ]]</f>
        <v/>
      </c>
      <c r="V482">
        <f>Financials[[#This Row],[ Profit ]]/Financials[[#This Row],[ Units_Sold ]]</f>
        <v/>
      </c>
      <c r="W482">
        <f>IF(Financials[[#This Row],[ Profit ]]&lt;0,1,0)</f>
        <v/>
      </c>
    </row>
    <row r="483">
      <c r="A483" t="inlineStr">
        <is>
          <t>Government</t>
        </is>
      </c>
      <c r="B483" t="inlineStr">
        <is>
          <t>Canada</t>
        </is>
      </c>
      <c r="C483" t="inlineStr">
        <is>
          <t xml:space="preserve"> Amarilla </t>
        </is>
      </c>
      <c r="D483" t="inlineStr">
        <is>
          <t xml:space="preserve"> High </t>
        </is>
      </c>
      <c r="E483" t="n">
        <v>2240</v>
      </c>
      <c r="F483" s="69" t="n">
        <v>260</v>
      </c>
      <c r="G483" s="69" t="n">
        <v>350</v>
      </c>
      <c r="H483" s="69" t="n">
        <v>784000</v>
      </c>
      <c r="I483" s="5" t="n">
        <v>78400</v>
      </c>
      <c r="J483" s="69" t="n">
        <v>705600</v>
      </c>
      <c r="K483" s="69" t="n">
        <v>582400</v>
      </c>
      <c r="L483" s="69" t="n">
        <v>123200</v>
      </c>
      <c r="M483" s="1" t="n">
        <v>41641</v>
      </c>
      <c r="N483" t="n">
        <v>2</v>
      </c>
      <c r="O483" t="inlineStr">
        <is>
          <t xml:space="preserve"> February </t>
        </is>
      </c>
      <c r="P483" t="n">
        <v>2014</v>
      </c>
      <c r="Q483">
        <f>IF(Financials[[#This Row],[ Units_Sold ]]&lt;&gt;INT(Financials[[#This Row],[ Units_Sold ]]),1,0)</f>
        <v/>
      </c>
      <c r="R483" s="10">
        <f>Financials[[#This Row],[ Profit ]]/Financials[[#This Row],[  Sales ]]</f>
        <v/>
      </c>
      <c r="S483" s="2">
        <f>Financials[[#This Row],[ COGS ]]/Financials[[#This Row],[  Sales ]]</f>
        <v/>
      </c>
      <c r="T483" s="3">
        <f>Financials[[#This Row],[ Discounts ]]/Financials[[#This Row],[  Sales ]]</f>
        <v/>
      </c>
      <c r="U483">
        <f>Financials[[#This Row],[  Sales ]]/Financials[[#This Row],[ Units_Sold ]]</f>
        <v/>
      </c>
      <c r="V483">
        <f>Financials[[#This Row],[ Profit ]]/Financials[[#This Row],[ Units_Sold ]]</f>
        <v/>
      </c>
      <c r="W483">
        <f>IF(Financials[[#This Row],[ Profit ]]&lt;0,1,0)</f>
        <v/>
      </c>
    </row>
    <row r="484">
      <c r="A484" t="inlineStr">
        <is>
          <t>Small Business</t>
        </is>
      </c>
      <c r="B484" t="inlineStr">
        <is>
          <t>United States of America</t>
        </is>
      </c>
      <c r="C484" t="inlineStr">
        <is>
          <t xml:space="preserve"> Amarilla </t>
        </is>
      </c>
      <c r="D484" t="inlineStr">
        <is>
          <t xml:space="preserve"> High </t>
        </is>
      </c>
      <c r="E484" t="n">
        <v>2993</v>
      </c>
      <c r="F484" s="69" t="n">
        <v>260</v>
      </c>
      <c r="G484" s="69" t="n">
        <v>300</v>
      </c>
      <c r="H484" s="69" t="n">
        <v>897900</v>
      </c>
      <c r="I484" s="5" t="n">
        <v>89790</v>
      </c>
      <c r="J484" s="69" t="n">
        <v>808110</v>
      </c>
      <c r="K484" s="69" t="n">
        <v>748250</v>
      </c>
      <c r="L484" s="69" t="n">
        <v>59860</v>
      </c>
      <c r="M484" s="1" t="n">
        <v>41642</v>
      </c>
      <c r="N484" t="n">
        <v>3</v>
      </c>
      <c r="O484" t="inlineStr">
        <is>
          <t xml:space="preserve"> March </t>
        </is>
      </c>
      <c r="P484" t="n">
        <v>2014</v>
      </c>
      <c r="Q484">
        <f>IF(Financials[[#This Row],[ Units_Sold ]]&lt;&gt;INT(Financials[[#This Row],[ Units_Sold ]]),1,0)</f>
        <v/>
      </c>
      <c r="R484" s="10">
        <f>Financials[[#This Row],[ Profit ]]/Financials[[#This Row],[  Sales ]]</f>
        <v/>
      </c>
      <c r="S484" s="2">
        <f>Financials[[#This Row],[ COGS ]]/Financials[[#This Row],[  Sales ]]</f>
        <v/>
      </c>
      <c r="T484" s="3">
        <f>Financials[[#This Row],[ Discounts ]]/Financials[[#This Row],[  Sales ]]</f>
        <v/>
      </c>
      <c r="U484">
        <f>Financials[[#This Row],[  Sales ]]/Financials[[#This Row],[ Units_Sold ]]</f>
        <v/>
      </c>
      <c r="V484">
        <f>Financials[[#This Row],[ Profit ]]/Financials[[#This Row],[ Units_Sold ]]</f>
        <v/>
      </c>
      <c r="W484">
        <f>IF(Financials[[#This Row],[ Profit ]]&lt;0,1,0)</f>
        <v/>
      </c>
    </row>
    <row r="485">
      <c r="A485" t="inlineStr">
        <is>
          <t>Channel Partners</t>
        </is>
      </c>
      <c r="B485" t="inlineStr">
        <is>
          <t>Canada</t>
        </is>
      </c>
      <c r="C485" t="inlineStr">
        <is>
          <t xml:space="preserve"> Amarilla </t>
        </is>
      </c>
      <c r="D485" t="inlineStr">
        <is>
          <t xml:space="preserve"> High </t>
        </is>
      </c>
      <c r="E485" t="n">
        <v>3520.5</v>
      </c>
      <c r="F485" s="69" t="n">
        <v>260</v>
      </c>
      <c r="G485" s="69" t="n">
        <v>12</v>
      </c>
      <c r="H485" s="69" t="n">
        <v>42246</v>
      </c>
      <c r="I485" s="5" t="n">
        <v>4224.6</v>
      </c>
      <c r="J485" s="69" t="n">
        <v>38021.4</v>
      </c>
      <c r="K485" s="69" t="n">
        <v>10561.5</v>
      </c>
      <c r="L485" s="69" t="n">
        <v>27459.9</v>
      </c>
      <c r="M485" s="1" t="n">
        <v>41643</v>
      </c>
      <c r="N485" t="n">
        <v>4</v>
      </c>
      <c r="O485" t="inlineStr">
        <is>
          <t xml:space="preserve"> April </t>
        </is>
      </c>
      <c r="P485" t="n">
        <v>2014</v>
      </c>
      <c r="Q485">
        <f>IF(Financials[[#This Row],[ Units_Sold ]]&lt;&gt;INT(Financials[[#This Row],[ Units_Sold ]]),1,0)</f>
        <v/>
      </c>
      <c r="R485" s="10">
        <f>Financials[[#This Row],[ Profit ]]/Financials[[#This Row],[  Sales ]]</f>
        <v/>
      </c>
      <c r="S485" s="2">
        <f>Financials[[#This Row],[ COGS ]]/Financials[[#This Row],[  Sales ]]</f>
        <v/>
      </c>
      <c r="T485" s="3">
        <f>Financials[[#This Row],[ Discounts ]]/Financials[[#This Row],[  Sales ]]</f>
        <v/>
      </c>
      <c r="U485">
        <f>Financials[[#This Row],[  Sales ]]/Financials[[#This Row],[ Units_Sold ]]</f>
        <v/>
      </c>
      <c r="V485">
        <f>Financials[[#This Row],[ Profit ]]/Financials[[#This Row],[ Units_Sold ]]</f>
        <v/>
      </c>
      <c r="W485">
        <f>IF(Financials[[#This Row],[ Profit ]]&lt;0,1,0)</f>
        <v/>
      </c>
    </row>
    <row r="486">
      <c r="A486" t="inlineStr">
        <is>
          <t>Government</t>
        </is>
      </c>
      <c r="B486" t="inlineStr">
        <is>
          <t>Mexico</t>
        </is>
      </c>
      <c r="C486" t="inlineStr">
        <is>
          <t xml:space="preserve"> Amarilla </t>
        </is>
      </c>
      <c r="D486" t="inlineStr">
        <is>
          <t xml:space="preserve"> High </t>
        </is>
      </c>
      <c r="E486" t="n">
        <v>2039</v>
      </c>
      <c r="F486" s="69" t="n">
        <v>260</v>
      </c>
      <c r="G486" s="69" t="n">
        <v>20</v>
      </c>
      <c r="H486" s="69" t="n">
        <v>40780</v>
      </c>
      <c r="I486" s="5" t="n">
        <v>4078</v>
      </c>
      <c r="J486" s="69" t="n">
        <v>36702</v>
      </c>
      <c r="K486" s="69" t="n">
        <v>20390</v>
      </c>
      <c r="L486" s="69" t="n">
        <v>16312</v>
      </c>
      <c r="M486" s="1" t="n">
        <v>41644</v>
      </c>
      <c r="N486" t="n">
        <v>5</v>
      </c>
      <c r="O486" t="inlineStr">
        <is>
          <t xml:space="preserve"> May </t>
        </is>
      </c>
      <c r="P486" t="n">
        <v>2014</v>
      </c>
      <c r="Q486">
        <f>IF(Financials[[#This Row],[ Units_Sold ]]&lt;&gt;INT(Financials[[#This Row],[ Units_Sold ]]),1,0)</f>
        <v/>
      </c>
      <c r="R486" s="10">
        <f>Financials[[#This Row],[ Profit ]]/Financials[[#This Row],[  Sales ]]</f>
        <v/>
      </c>
      <c r="S486" s="2">
        <f>Financials[[#This Row],[ COGS ]]/Financials[[#This Row],[  Sales ]]</f>
        <v/>
      </c>
      <c r="T486" s="3">
        <f>Financials[[#This Row],[ Discounts ]]/Financials[[#This Row],[  Sales ]]</f>
        <v/>
      </c>
      <c r="U486">
        <f>Financials[[#This Row],[  Sales ]]/Financials[[#This Row],[ Units_Sold ]]</f>
        <v/>
      </c>
      <c r="V486">
        <f>Financials[[#This Row],[ Profit ]]/Financials[[#This Row],[ Units_Sold ]]</f>
        <v/>
      </c>
      <c r="W486">
        <f>IF(Financials[[#This Row],[ Profit ]]&lt;0,1,0)</f>
        <v/>
      </c>
    </row>
    <row r="487">
      <c r="A487" t="inlineStr">
        <is>
          <t>Channel Partners</t>
        </is>
      </c>
      <c r="B487" t="inlineStr">
        <is>
          <t>Germany</t>
        </is>
      </c>
      <c r="C487" t="inlineStr">
        <is>
          <t xml:space="preserve"> Amarilla </t>
        </is>
      </c>
      <c r="D487" t="inlineStr">
        <is>
          <t xml:space="preserve"> High </t>
        </is>
      </c>
      <c r="E487" t="n">
        <v>2574</v>
      </c>
      <c r="F487" s="69" t="n">
        <v>260</v>
      </c>
      <c r="G487" s="69" t="n">
        <v>12</v>
      </c>
      <c r="H487" s="69" t="n">
        <v>30888</v>
      </c>
      <c r="I487" s="5" t="n">
        <v>3088.8</v>
      </c>
      <c r="J487" s="69" t="n">
        <v>27799.2</v>
      </c>
      <c r="K487" s="69" t="n">
        <v>7722</v>
      </c>
      <c r="L487" s="69" t="n">
        <v>20077.2</v>
      </c>
      <c r="M487" s="1" t="n">
        <v>41647</v>
      </c>
      <c r="N487" t="n">
        <v>8</v>
      </c>
      <c r="O487" t="inlineStr">
        <is>
          <t xml:space="preserve"> August </t>
        </is>
      </c>
      <c r="P487" t="n">
        <v>2014</v>
      </c>
      <c r="Q487">
        <f>IF(Financials[[#This Row],[ Units_Sold ]]&lt;&gt;INT(Financials[[#This Row],[ Units_Sold ]]),1,0)</f>
        <v/>
      </c>
      <c r="R487" s="10">
        <f>Financials[[#This Row],[ Profit ]]/Financials[[#This Row],[  Sales ]]</f>
        <v/>
      </c>
      <c r="S487" s="2">
        <f>Financials[[#This Row],[ COGS ]]/Financials[[#This Row],[  Sales ]]</f>
        <v/>
      </c>
      <c r="T487" s="3">
        <f>Financials[[#This Row],[ Discounts ]]/Financials[[#This Row],[  Sales ]]</f>
        <v/>
      </c>
      <c r="U487">
        <f>Financials[[#This Row],[  Sales ]]/Financials[[#This Row],[ Units_Sold ]]</f>
        <v/>
      </c>
      <c r="V487">
        <f>Financials[[#This Row],[ Profit ]]/Financials[[#This Row],[ Units_Sold ]]</f>
        <v/>
      </c>
      <c r="W487">
        <f>IF(Financials[[#This Row],[ Profit ]]&lt;0,1,0)</f>
        <v/>
      </c>
    </row>
    <row r="488">
      <c r="A488" t="inlineStr">
        <is>
          <t>Government</t>
        </is>
      </c>
      <c r="B488" t="inlineStr">
        <is>
          <t>Canada</t>
        </is>
      </c>
      <c r="C488" t="inlineStr">
        <is>
          <t xml:space="preserve"> Amarilla </t>
        </is>
      </c>
      <c r="D488" t="inlineStr">
        <is>
          <t xml:space="preserve"> High </t>
        </is>
      </c>
      <c r="E488" t="n">
        <v>707</v>
      </c>
      <c r="F488" s="69" t="n">
        <v>260</v>
      </c>
      <c r="G488" s="69" t="n">
        <v>350</v>
      </c>
      <c r="H488" s="69" t="n">
        <v>247450</v>
      </c>
      <c r="I488" s="5" t="n">
        <v>24745</v>
      </c>
      <c r="J488" s="69" t="n">
        <v>222705</v>
      </c>
      <c r="K488" s="69" t="n">
        <v>183820</v>
      </c>
      <c r="L488" s="69" t="n">
        <v>38885</v>
      </c>
      <c r="M488" s="1" t="n">
        <v>41648</v>
      </c>
      <c r="N488" t="n">
        <v>9</v>
      </c>
      <c r="O488" t="inlineStr">
        <is>
          <t xml:space="preserve"> September </t>
        </is>
      </c>
      <c r="P488" t="n">
        <v>2014</v>
      </c>
      <c r="Q488">
        <f>IF(Financials[[#This Row],[ Units_Sold ]]&lt;&gt;INT(Financials[[#This Row],[ Units_Sold ]]),1,0)</f>
        <v/>
      </c>
      <c r="R488" s="10">
        <f>Financials[[#This Row],[ Profit ]]/Financials[[#This Row],[  Sales ]]</f>
        <v/>
      </c>
      <c r="S488" s="2">
        <f>Financials[[#This Row],[ COGS ]]/Financials[[#This Row],[  Sales ]]</f>
        <v/>
      </c>
      <c r="T488" s="3">
        <f>Financials[[#This Row],[ Discounts ]]/Financials[[#This Row],[  Sales ]]</f>
        <v/>
      </c>
      <c r="U488">
        <f>Financials[[#This Row],[  Sales ]]/Financials[[#This Row],[ Units_Sold ]]</f>
        <v/>
      </c>
      <c r="V488">
        <f>Financials[[#This Row],[ Profit ]]/Financials[[#This Row],[ Units_Sold ]]</f>
        <v/>
      </c>
      <c r="W488">
        <f>IF(Financials[[#This Row],[ Profit ]]&lt;0,1,0)</f>
        <v/>
      </c>
    </row>
    <row r="489">
      <c r="A489" t="inlineStr">
        <is>
          <t>Midmarket</t>
        </is>
      </c>
      <c r="B489" t="inlineStr">
        <is>
          <t>France</t>
        </is>
      </c>
      <c r="C489" t="inlineStr">
        <is>
          <t xml:space="preserve"> Amarilla </t>
        </is>
      </c>
      <c r="D489" t="inlineStr">
        <is>
          <t xml:space="preserve"> High </t>
        </is>
      </c>
      <c r="E489" t="n">
        <v>2072</v>
      </c>
      <c r="F489" s="69" t="n">
        <v>260</v>
      </c>
      <c r="G489" s="69" t="n">
        <v>15</v>
      </c>
      <c r="H489" s="69" t="n">
        <v>31080</v>
      </c>
      <c r="I489" s="5" t="n">
        <v>3108</v>
      </c>
      <c r="J489" s="69" t="n">
        <v>27972</v>
      </c>
      <c r="K489" s="69" t="n">
        <v>20720</v>
      </c>
      <c r="L489" s="69" t="n">
        <v>7252</v>
      </c>
      <c r="M489" s="1" t="n">
        <v>41651</v>
      </c>
      <c r="N489" t="n">
        <v>12</v>
      </c>
      <c r="O489" t="inlineStr">
        <is>
          <t xml:space="preserve"> December </t>
        </is>
      </c>
      <c r="P489" t="n">
        <v>2014</v>
      </c>
      <c r="Q489">
        <f>IF(Financials[[#This Row],[ Units_Sold ]]&lt;&gt;INT(Financials[[#This Row],[ Units_Sold ]]),1,0)</f>
        <v/>
      </c>
      <c r="R489" s="10">
        <f>Financials[[#This Row],[ Profit ]]/Financials[[#This Row],[  Sales ]]</f>
        <v/>
      </c>
      <c r="S489" s="2">
        <f>Financials[[#This Row],[ COGS ]]/Financials[[#This Row],[  Sales ]]</f>
        <v/>
      </c>
      <c r="T489" s="3">
        <f>Financials[[#This Row],[ Discounts ]]/Financials[[#This Row],[  Sales ]]</f>
        <v/>
      </c>
      <c r="U489">
        <f>Financials[[#This Row],[  Sales ]]/Financials[[#This Row],[ Units_Sold ]]</f>
        <v/>
      </c>
      <c r="V489">
        <f>Financials[[#This Row],[ Profit ]]/Financials[[#This Row],[ Units_Sold ]]</f>
        <v/>
      </c>
      <c r="W489">
        <f>IF(Financials[[#This Row],[ Profit ]]&lt;0,1,0)</f>
        <v/>
      </c>
    </row>
    <row r="490">
      <c r="A490" t="inlineStr">
        <is>
          <t>Small Business</t>
        </is>
      </c>
      <c r="B490" t="inlineStr">
        <is>
          <t>France</t>
        </is>
      </c>
      <c r="C490" t="inlineStr">
        <is>
          <t xml:space="preserve"> Amarilla </t>
        </is>
      </c>
      <c r="D490" t="inlineStr">
        <is>
          <t xml:space="preserve"> High </t>
        </is>
      </c>
      <c r="E490" t="n">
        <v>853</v>
      </c>
      <c r="F490" s="69" t="n">
        <v>260</v>
      </c>
      <c r="G490" s="69" t="n">
        <v>300</v>
      </c>
      <c r="H490" s="69" t="n">
        <v>255900</v>
      </c>
      <c r="I490" s="5" t="n">
        <v>25590</v>
      </c>
      <c r="J490" s="69" t="n">
        <v>230310</v>
      </c>
      <c r="K490" s="69" t="n">
        <v>213250</v>
      </c>
      <c r="L490" s="69" t="n">
        <v>17060</v>
      </c>
      <c r="M490" s="1" t="n">
        <v>41651</v>
      </c>
      <c r="N490" t="n">
        <v>12</v>
      </c>
      <c r="O490" t="inlineStr">
        <is>
          <t xml:space="preserve"> December </t>
        </is>
      </c>
      <c r="P490" t="n">
        <v>2014</v>
      </c>
      <c r="Q490">
        <f>IF(Financials[[#This Row],[ Units_Sold ]]&lt;&gt;INT(Financials[[#This Row],[ Units_Sold ]]),1,0)</f>
        <v/>
      </c>
      <c r="R490" s="10">
        <f>Financials[[#This Row],[ Profit ]]/Financials[[#This Row],[  Sales ]]</f>
        <v/>
      </c>
      <c r="S490" s="2">
        <f>Financials[[#This Row],[ COGS ]]/Financials[[#This Row],[  Sales ]]</f>
        <v/>
      </c>
      <c r="T490" s="3">
        <f>Financials[[#This Row],[ Discounts ]]/Financials[[#This Row],[  Sales ]]</f>
        <v/>
      </c>
      <c r="U490">
        <f>Financials[[#This Row],[  Sales ]]/Financials[[#This Row],[ Units_Sold ]]</f>
        <v/>
      </c>
      <c r="V490">
        <f>Financials[[#This Row],[ Profit ]]/Financials[[#This Row],[ Units_Sold ]]</f>
        <v/>
      </c>
      <c r="W490">
        <f>IF(Financials[[#This Row],[ Profit ]]&lt;0,1,0)</f>
        <v/>
      </c>
    </row>
    <row r="491">
      <c r="A491" t="inlineStr">
        <is>
          <t>Channel Partners</t>
        </is>
      </c>
      <c r="B491" t="inlineStr">
        <is>
          <t>France</t>
        </is>
      </c>
      <c r="C491" t="inlineStr">
        <is>
          <t xml:space="preserve"> Carretera </t>
        </is>
      </c>
      <c r="D491" t="inlineStr">
        <is>
          <t xml:space="preserve"> High </t>
        </is>
      </c>
      <c r="E491" t="n">
        <v>1198</v>
      </c>
      <c r="F491" s="69" t="n">
        <v>3</v>
      </c>
      <c r="G491" s="69" t="n">
        <v>12</v>
      </c>
      <c r="H491" s="69" t="n">
        <v>14376</v>
      </c>
      <c r="I491" s="5" t="n">
        <v>1581.36</v>
      </c>
      <c r="J491" s="69" t="n">
        <v>12794.64</v>
      </c>
      <c r="K491" s="69" t="n">
        <v>3594</v>
      </c>
      <c r="L491" s="69" t="n">
        <v>9200.639999999999</v>
      </c>
      <c r="M491" s="1" t="n">
        <v>41284</v>
      </c>
      <c r="N491" t="n">
        <v>10</v>
      </c>
      <c r="O491" t="inlineStr">
        <is>
          <t xml:space="preserve"> October </t>
        </is>
      </c>
      <c r="P491" t="n">
        <v>2013</v>
      </c>
      <c r="Q491">
        <f>IF(Financials[[#This Row],[ Units_Sold ]]&lt;&gt;INT(Financials[[#This Row],[ Units_Sold ]]),1,0)</f>
        <v/>
      </c>
      <c r="R491" s="10">
        <f>Financials[[#This Row],[ Profit ]]/Financials[[#This Row],[  Sales ]]</f>
        <v/>
      </c>
      <c r="S491" s="2">
        <f>Financials[[#This Row],[ COGS ]]/Financials[[#This Row],[  Sales ]]</f>
        <v/>
      </c>
      <c r="T491" s="3">
        <f>Financials[[#This Row],[ Discounts ]]/Financials[[#This Row],[  Sales ]]</f>
        <v/>
      </c>
      <c r="U491">
        <f>Financials[[#This Row],[  Sales ]]/Financials[[#This Row],[ Units_Sold ]]</f>
        <v/>
      </c>
      <c r="V491">
        <f>Financials[[#This Row],[ Profit ]]/Financials[[#This Row],[ Units_Sold ]]</f>
        <v/>
      </c>
      <c r="W491">
        <f>IF(Financials[[#This Row],[ Profit ]]&lt;0,1,0)</f>
        <v/>
      </c>
    </row>
    <row r="492">
      <c r="A492" t="inlineStr">
        <is>
          <t>Government</t>
        </is>
      </c>
      <c r="B492" t="inlineStr">
        <is>
          <t>France</t>
        </is>
      </c>
      <c r="C492" t="inlineStr">
        <is>
          <t xml:space="preserve"> Paseo </t>
        </is>
      </c>
      <c r="D492" t="inlineStr">
        <is>
          <t xml:space="preserve"> High </t>
        </is>
      </c>
      <c r="E492" t="n">
        <v>2532</v>
      </c>
      <c r="F492" s="69" t="n">
        <v>10</v>
      </c>
      <c r="G492" s="69" t="n">
        <v>7</v>
      </c>
      <c r="H492" s="69" t="n">
        <v>17724</v>
      </c>
      <c r="I492" s="5" t="n">
        <v>1949.64</v>
      </c>
      <c r="J492" s="69" t="n">
        <v>15774.36</v>
      </c>
      <c r="K492" s="69" t="n">
        <v>12660</v>
      </c>
      <c r="L492" s="69" t="n">
        <v>3114.36</v>
      </c>
      <c r="M492" s="1" t="n">
        <v>41643</v>
      </c>
      <c r="N492" t="n">
        <v>4</v>
      </c>
      <c r="O492" t="inlineStr">
        <is>
          <t xml:space="preserve"> April </t>
        </is>
      </c>
      <c r="P492" t="n">
        <v>2014</v>
      </c>
      <c r="Q492">
        <f>IF(Financials[[#This Row],[ Units_Sold ]]&lt;&gt;INT(Financials[[#This Row],[ Units_Sold ]]),1,0)</f>
        <v/>
      </c>
      <c r="R492" s="10">
        <f>Financials[[#This Row],[ Profit ]]/Financials[[#This Row],[  Sales ]]</f>
        <v/>
      </c>
      <c r="S492" s="2">
        <f>Financials[[#This Row],[ COGS ]]/Financials[[#This Row],[  Sales ]]</f>
        <v/>
      </c>
      <c r="T492" s="3">
        <f>Financials[[#This Row],[ Discounts ]]/Financials[[#This Row],[  Sales ]]</f>
        <v/>
      </c>
      <c r="U492">
        <f>Financials[[#This Row],[  Sales ]]/Financials[[#This Row],[ Units_Sold ]]</f>
        <v/>
      </c>
      <c r="V492">
        <f>Financials[[#This Row],[ Profit ]]/Financials[[#This Row],[ Units_Sold ]]</f>
        <v/>
      </c>
      <c r="W492">
        <f>IF(Financials[[#This Row],[ Profit ]]&lt;0,1,0)</f>
        <v/>
      </c>
    </row>
    <row r="493">
      <c r="A493" t="inlineStr">
        <is>
          <t>Channel Partners</t>
        </is>
      </c>
      <c r="B493" t="inlineStr">
        <is>
          <t>France</t>
        </is>
      </c>
      <c r="C493" t="inlineStr">
        <is>
          <t xml:space="preserve"> Paseo </t>
        </is>
      </c>
      <c r="D493" t="inlineStr">
        <is>
          <t xml:space="preserve"> High </t>
        </is>
      </c>
      <c r="E493" t="n">
        <v>1198</v>
      </c>
      <c r="F493" s="69" t="n">
        <v>10</v>
      </c>
      <c r="G493" s="69" t="n">
        <v>12</v>
      </c>
      <c r="H493" s="69" t="n">
        <v>14376</v>
      </c>
      <c r="I493" s="5" t="n">
        <v>1581.36</v>
      </c>
      <c r="J493" s="69" t="n">
        <v>12794.64</v>
      </c>
      <c r="K493" s="69" t="n">
        <v>3594</v>
      </c>
      <c r="L493" s="69" t="n">
        <v>9200.639999999999</v>
      </c>
      <c r="M493" s="1" t="n">
        <v>41284</v>
      </c>
      <c r="N493" t="n">
        <v>10</v>
      </c>
      <c r="O493" t="inlineStr">
        <is>
          <t xml:space="preserve"> October </t>
        </is>
      </c>
      <c r="P493" t="n">
        <v>2013</v>
      </c>
      <c r="Q493">
        <f>IF(Financials[[#This Row],[ Units_Sold ]]&lt;&gt;INT(Financials[[#This Row],[ Units_Sold ]]),1,0)</f>
        <v/>
      </c>
      <c r="R493" s="10">
        <f>Financials[[#This Row],[ Profit ]]/Financials[[#This Row],[  Sales ]]</f>
        <v/>
      </c>
      <c r="S493" s="2">
        <f>Financials[[#This Row],[ COGS ]]/Financials[[#This Row],[  Sales ]]</f>
        <v/>
      </c>
      <c r="T493" s="3">
        <f>Financials[[#This Row],[ Discounts ]]/Financials[[#This Row],[  Sales ]]</f>
        <v/>
      </c>
      <c r="U493">
        <f>Financials[[#This Row],[  Sales ]]/Financials[[#This Row],[ Units_Sold ]]</f>
        <v/>
      </c>
      <c r="V493">
        <f>Financials[[#This Row],[ Profit ]]/Financials[[#This Row],[ Units_Sold ]]</f>
        <v/>
      </c>
      <c r="W493">
        <f>IF(Financials[[#This Row],[ Profit ]]&lt;0,1,0)</f>
        <v/>
      </c>
    </row>
    <row r="494">
      <c r="A494" t="inlineStr">
        <is>
          <t>Midmarket</t>
        </is>
      </c>
      <c r="B494" t="inlineStr">
        <is>
          <t>Canada</t>
        </is>
      </c>
      <c r="C494" t="inlineStr">
        <is>
          <t xml:space="preserve"> Velo </t>
        </is>
      </c>
      <c r="D494" t="inlineStr">
        <is>
          <t xml:space="preserve"> High </t>
        </is>
      </c>
      <c r="E494" t="n">
        <v>384</v>
      </c>
      <c r="F494" s="69" t="n">
        <v>120</v>
      </c>
      <c r="G494" s="69" t="n">
        <v>15</v>
      </c>
      <c r="H494" s="69" t="n">
        <v>5760</v>
      </c>
      <c r="I494" s="5" t="n">
        <v>633.6</v>
      </c>
      <c r="J494" s="69" t="n">
        <v>5126.4</v>
      </c>
      <c r="K494" s="69" t="n">
        <v>3840</v>
      </c>
      <c r="L494" s="69" t="n">
        <v>1286.4</v>
      </c>
      <c r="M494" s="1" t="n">
        <v>41640</v>
      </c>
      <c r="N494" t="n">
        <v>1</v>
      </c>
      <c r="O494" t="inlineStr">
        <is>
          <t xml:space="preserve"> January </t>
        </is>
      </c>
      <c r="P494" t="n">
        <v>2014</v>
      </c>
      <c r="Q494">
        <f>IF(Financials[[#This Row],[ Units_Sold ]]&lt;&gt;INT(Financials[[#This Row],[ Units_Sold ]]),1,0)</f>
        <v/>
      </c>
      <c r="R494" s="10">
        <f>Financials[[#This Row],[ Profit ]]/Financials[[#This Row],[  Sales ]]</f>
        <v/>
      </c>
      <c r="S494" s="2">
        <f>Financials[[#This Row],[ COGS ]]/Financials[[#This Row],[  Sales ]]</f>
        <v/>
      </c>
      <c r="T494" s="3">
        <f>Financials[[#This Row],[ Discounts ]]/Financials[[#This Row],[  Sales ]]</f>
        <v/>
      </c>
      <c r="U494">
        <f>Financials[[#This Row],[  Sales ]]/Financials[[#This Row],[ Units_Sold ]]</f>
        <v/>
      </c>
      <c r="V494">
        <f>Financials[[#This Row],[ Profit ]]/Financials[[#This Row],[ Units_Sold ]]</f>
        <v/>
      </c>
      <c r="W494">
        <f>IF(Financials[[#This Row],[ Profit ]]&lt;0,1,0)</f>
        <v/>
      </c>
    </row>
    <row r="495">
      <c r="A495" t="inlineStr">
        <is>
          <t>Channel Partners</t>
        </is>
      </c>
      <c r="B495" t="inlineStr">
        <is>
          <t>Germany</t>
        </is>
      </c>
      <c r="C495" t="inlineStr">
        <is>
          <t xml:space="preserve"> Velo </t>
        </is>
      </c>
      <c r="D495" t="inlineStr">
        <is>
          <t xml:space="preserve"> High </t>
        </is>
      </c>
      <c r="E495" t="n">
        <v>472</v>
      </c>
      <c r="F495" s="69" t="n">
        <v>120</v>
      </c>
      <c r="G495" s="69" t="n">
        <v>12</v>
      </c>
      <c r="H495" s="69" t="n">
        <v>5664</v>
      </c>
      <c r="I495" s="5" t="n">
        <v>623.04</v>
      </c>
      <c r="J495" s="69" t="n">
        <v>5040.96</v>
      </c>
      <c r="K495" s="69" t="n">
        <v>1416</v>
      </c>
      <c r="L495" s="69" t="n">
        <v>3624.96</v>
      </c>
      <c r="M495" s="1" t="n">
        <v>41649</v>
      </c>
      <c r="N495" t="n">
        <v>10</v>
      </c>
      <c r="O495" t="inlineStr">
        <is>
          <t xml:space="preserve"> October </t>
        </is>
      </c>
      <c r="P495" t="n">
        <v>2014</v>
      </c>
      <c r="Q495">
        <f>IF(Financials[[#This Row],[ Units_Sold ]]&lt;&gt;INT(Financials[[#This Row],[ Units_Sold ]]),1,0)</f>
        <v/>
      </c>
      <c r="R495" s="10">
        <f>Financials[[#This Row],[ Profit ]]/Financials[[#This Row],[  Sales ]]</f>
        <v/>
      </c>
      <c r="S495" s="2">
        <f>Financials[[#This Row],[ COGS ]]/Financials[[#This Row],[  Sales ]]</f>
        <v/>
      </c>
      <c r="T495" s="3">
        <f>Financials[[#This Row],[ Discounts ]]/Financials[[#This Row],[  Sales ]]</f>
        <v/>
      </c>
      <c r="U495">
        <f>Financials[[#This Row],[  Sales ]]/Financials[[#This Row],[ Units_Sold ]]</f>
        <v/>
      </c>
      <c r="V495">
        <f>Financials[[#This Row],[ Profit ]]/Financials[[#This Row],[ Units_Sold ]]</f>
        <v/>
      </c>
      <c r="W495">
        <f>IF(Financials[[#This Row],[ Profit ]]&lt;0,1,0)</f>
        <v/>
      </c>
    </row>
    <row r="496">
      <c r="A496" t="inlineStr">
        <is>
          <t>Government</t>
        </is>
      </c>
      <c r="B496" t="inlineStr">
        <is>
          <t>United States of America</t>
        </is>
      </c>
      <c r="C496" t="inlineStr">
        <is>
          <t xml:space="preserve"> VTT </t>
        </is>
      </c>
      <c r="D496" t="inlineStr">
        <is>
          <t xml:space="preserve"> High </t>
        </is>
      </c>
      <c r="E496" t="n">
        <v>1579</v>
      </c>
      <c r="F496" s="69" t="n">
        <v>250</v>
      </c>
      <c r="G496" s="69" t="n">
        <v>7</v>
      </c>
      <c r="H496" s="69" t="n">
        <v>11053</v>
      </c>
      <c r="I496" s="5" t="n">
        <v>1215.83</v>
      </c>
      <c r="J496" s="69" t="n">
        <v>9837.17</v>
      </c>
      <c r="K496" s="69" t="n">
        <v>7895</v>
      </c>
      <c r="L496" s="69" t="n">
        <v>1942.17</v>
      </c>
      <c r="M496" s="1" t="n">
        <v>41642</v>
      </c>
      <c r="N496" t="n">
        <v>3</v>
      </c>
      <c r="O496" t="inlineStr">
        <is>
          <t xml:space="preserve"> March </t>
        </is>
      </c>
      <c r="P496" t="n">
        <v>2014</v>
      </c>
      <c r="Q496">
        <f>IF(Financials[[#This Row],[ Units_Sold ]]&lt;&gt;INT(Financials[[#This Row],[ Units_Sold ]]),1,0)</f>
        <v/>
      </c>
      <c r="R496" s="10">
        <f>Financials[[#This Row],[ Profit ]]/Financials[[#This Row],[  Sales ]]</f>
        <v/>
      </c>
      <c r="S496" s="2">
        <f>Financials[[#This Row],[ COGS ]]/Financials[[#This Row],[  Sales ]]</f>
        <v/>
      </c>
      <c r="T496" s="3">
        <f>Financials[[#This Row],[ Discounts ]]/Financials[[#This Row],[  Sales ]]</f>
        <v/>
      </c>
      <c r="U496">
        <f>Financials[[#This Row],[  Sales ]]/Financials[[#This Row],[ Units_Sold ]]</f>
        <v/>
      </c>
      <c r="V496">
        <f>Financials[[#This Row],[ Profit ]]/Financials[[#This Row],[ Units_Sold ]]</f>
        <v/>
      </c>
      <c r="W496">
        <f>IF(Financials[[#This Row],[ Profit ]]&lt;0,1,0)</f>
        <v/>
      </c>
    </row>
    <row r="497">
      <c r="A497" t="inlineStr">
        <is>
          <t>Channel Partners</t>
        </is>
      </c>
      <c r="B497" t="inlineStr">
        <is>
          <t>Mexico</t>
        </is>
      </c>
      <c r="C497" t="inlineStr">
        <is>
          <t xml:space="preserve"> VTT </t>
        </is>
      </c>
      <c r="D497" t="inlineStr">
        <is>
          <t xml:space="preserve"> High </t>
        </is>
      </c>
      <c r="E497" t="n">
        <v>1005</v>
      </c>
      <c r="F497" s="69" t="n">
        <v>250</v>
      </c>
      <c r="G497" s="69" t="n">
        <v>12</v>
      </c>
      <c r="H497" s="69" t="n">
        <v>12060</v>
      </c>
      <c r="I497" s="5" t="n">
        <v>1326.6</v>
      </c>
      <c r="J497" s="69" t="n">
        <v>10733.4</v>
      </c>
      <c r="K497" s="69" t="n">
        <v>3015</v>
      </c>
      <c r="L497" s="69" t="n">
        <v>7718.4</v>
      </c>
      <c r="M497" s="1" t="n">
        <v>41283</v>
      </c>
      <c r="N497" t="n">
        <v>9</v>
      </c>
      <c r="O497" t="inlineStr">
        <is>
          <t xml:space="preserve"> September </t>
        </is>
      </c>
      <c r="P497" t="n">
        <v>2013</v>
      </c>
      <c r="Q497">
        <f>IF(Financials[[#This Row],[ Units_Sold ]]&lt;&gt;INT(Financials[[#This Row],[ Units_Sold ]]),1,0)</f>
        <v/>
      </c>
      <c r="R497" s="10">
        <f>Financials[[#This Row],[ Profit ]]/Financials[[#This Row],[  Sales ]]</f>
        <v/>
      </c>
      <c r="S497" s="2">
        <f>Financials[[#This Row],[ COGS ]]/Financials[[#This Row],[  Sales ]]</f>
        <v/>
      </c>
      <c r="T497" s="3">
        <f>Financials[[#This Row],[ Discounts ]]/Financials[[#This Row],[  Sales ]]</f>
        <v/>
      </c>
      <c r="U497">
        <f>Financials[[#This Row],[  Sales ]]/Financials[[#This Row],[ Units_Sold ]]</f>
        <v/>
      </c>
      <c r="V497">
        <f>Financials[[#This Row],[ Profit ]]/Financials[[#This Row],[ Units_Sold ]]</f>
        <v/>
      </c>
      <c r="W497">
        <f>IF(Financials[[#This Row],[ Profit ]]&lt;0,1,0)</f>
        <v/>
      </c>
    </row>
    <row r="498">
      <c r="A498" t="inlineStr">
        <is>
          <t>Midmarket</t>
        </is>
      </c>
      <c r="B498" t="inlineStr">
        <is>
          <t>United States of America</t>
        </is>
      </c>
      <c r="C498" t="inlineStr">
        <is>
          <t xml:space="preserve"> Amarilla </t>
        </is>
      </c>
      <c r="D498" t="inlineStr">
        <is>
          <t xml:space="preserve"> High </t>
        </is>
      </c>
      <c r="E498" t="n">
        <v>3199.5</v>
      </c>
      <c r="F498" s="69" t="n">
        <v>260</v>
      </c>
      <c r="G498" s="69" t="n">
        <v>15</v>
      </c>
      <c r="H498" s="69" t="n">
        <v>47992.5</v>
      </c>
      <c r="I498" s="5" t="n">
        <v>5279.18</v>
      </c>
      <c r="J498" s="69" t="n">
        <v>42713.33</v>
      </c>
      <c r="K498" s="69" t="n">
        <v>31995</v>
      </c>
      <c r="L498" s="69" t="n">
        <v>10718.33</v>
      </c>
      <c r="M498" s="1" t="n">
        <v>41646</v>
      </c>
      <c r="N498" t="n">
        <v>7</v>
      </c>
      <c r="O498" t="inlineStr">
        <is>
          <t xml:space="preserve"> July </t>
        </is>
      </c>
      <c r="P498" t="n">
        <v>2014</v>
      </c>
      <c r="Q498">
        <f>IF(Financials[[#This Row],[ Units_Sold ]]&lt;&gt;INT(Financials[[#This Row],[ Units_Sold ]]),1,0)</f>
        <v/>
      </c>
      <c r="R498" s="10">
        <f>Financials[[#This Row],[ Profit ]]/Financials[[#This Row],[  Sales ]]</f>
        <v/>
      </c>
      <c r="S498" s="2">
        <f>Financials[[#This Row],[ COGS ]]/Financials[[#This Row],[  Sales ]]</f>
        <v/>
      </c>
      <c r="T498" s="3">
        <f>Financials[[#This Row],[ Discounts ]]/Financials[[#This Row],[  Sales ]]</f>
        <v/>
      </c>
      <c r="U498">
        <f>Financials[[#This Row],[  Sales ]]/Financials[[#This Row],[ Units_Sold ]]</f>
        <v/>
      </c>
      <c r="V498">
        <f>Financials[[#This Row],[ Profit ]]/Financials[[#This Row],[ Units_Sold ]]</f>
        <v/>
      </c>
      <c r="W498">
        <f>IF(Financials[[#This Row],[ Profit ]]&lt;0,1,0)</f>
        <v/>
      </c>
    </row>
    <row r="499">
      <c r="A499" t="inlineStr">
        <is>
          <t>Channel Partners</t>
        </is>
      </c>
      <c r="B499" t="inlineStr">
        <is>
          <t>Germany</t>
        </is>
      </c>
      <c r="C499" t="inlineStr">
        <is>
          <t xml:space="preserve"> Amarilla </t>
        </is>
      </c>
      <c r="D499" t="inlineStr">
        <is>
          <t xml:space="preserve"> High </t>
        </is>
      </c>
      <c r="E499" t="n">
        <v>472</v>
      </c>
      <c r="F499" s="69" t="n">
        <v>260</v>
      </c>
      <c r="G499" s="69" t="n">
        <v>12</v>
      </c>
      <c r="H499" s="69" t="n">
        <v>5664</v>
      </c>
      <c r="I499" s="5" t="n">
        <v>623.04</v>
      </c>
      <c r="J499" s="69" t="n">
        <v>5040.96</v>
      </c>
      <c r="K499" s="69" t="n">
        <v>1416</v>
      </c>
      <c r="L499" s="69" t="n">
        <v>3624.96</v>
      </c>
      <c r="M499" s="1" t="n">
        <v>41649</v>
      </c>
      <c r="N499" t="n">
        <v>10</v>
      </c>
      <c r="O499" t="inlineStr">
        <is>
          <t xml:space="preserve"> October </t>
        </is>
      </c>
      <c r="P499" t="n">
        <v>2014</v>
      </c>
      <c r="Q499">
        <f>IF(Financials[[#This Row],[ Units_Sold ]]&lt;&gt;INT(Financials[[#This Row],[ Units_Sold ]]),1,0)</f>
        <v/>
      </c>
      <c r="R499" s="10">
        <f>Financials[[#This Row],[ Profit ]]/Financials[[#This Row],[  Sales ]]</f>
        <v/>
      </c>
      <c r="S499" s="2">
        <f>Financials[[#This Row],[ COGS ]]/Financials[[#This Row],[  Sales ]]</f>
        <v/>
      </c>
      <c r="T499" s="3">
        <f>Financials[[#This Row],[ Discounts ]]/Financials[[#This Row],[  Sales ]]</f>
        <v/>
      </c>
      <c r="U499">
        <f>Financials[[#This Row],[  Sales ]]/Financials[[#This Row],[ Units_Sold ]]</f>
        <v/>
      </c>
      <c r="V499">
        <f>Financials[[#This Row],[ Profit ]]/Financials[[#This Row],[ Units_Sold ]]</f>
        <v/>
      </c>
      <c r="W499">
        <f>IF(Financials[[#This Row],[ Profit ]]&lt;0,1,0)</f>
        <v/>
      </c>
    </row>
    <row r="500">
      <c r="A500" t="inlineStr">
        <is>
          <t>Channel Partners</t>
        </is>
      </c>
      <c r="B500" t="inlineStr">
        <is>
          <t>Canada</t>
        </is>
      </c>
      <c r="C500" t="inlineStr">
        <is>
          <t xml:space="preserve"> Carretera </t>
        </is>
      </c>
      <c r="D500" t="inlineStr">
        <is>
          <t xml:space="preserve"> High </t>
        </is>
      </c>
      <c r="E500" t="n">
        <v>1937</v>
      </c>
      <c r="F500" s="69" t="n">
        <v>3</v>
      </c>
      <c r="G500" s="69" t="n">
        <v>12</v>
      </c>
      <c r="H500" s="69" t="n">
        <v>23244</v>
      </c>
      <c r="I500" s="5" t="n">
        <v>2556.84</v>
      </c>
      <c r="J500" s="69" t="n">
        <v>20687.16</v>
      </c>
      <c r="K500" s="69" t="n">
        <v>5811</v>
      </c>
      <c r="L500" s="69" t="n">
        <v>14876.16</v>
      </c>
      <c r="M500" s="1" t="n">
        <v>41641</v>
      </c>
      <c r="N500" t="n">
        <v>2</v>
      </c>
      <c r="O500" t="inlineStr">
        <is>
          <t xml:space="preserve"> February </t>
        </is>
      </c>
      <c r="P500" t="n">
        <v>2014</v>
      </c>
      <c r="Q500">
        <f>IF(Financials[[#This Row],[ Units_Sold ]]&lt;&gt;INT(Financials[[#This Row],[ Units_Sold ]]),1,0)</f>
        <v/>
      </c>
      <c r="R500" s="10">
        <f>Financials[[#This Row],[ Profit ]]/Financials[[#This Row],[  Sales ]]</f>
        <v/>
      </c>
      <c r="S500" s="2">
        <f>Financials[[#This Row],[ COGS ]]/Financials[[#This Row],[  Sales ]]</f>
        <v/>
      </c>
      <c r="T500" s="3">
        <f>Financials[[#This Row],[ Discounts ]]/Financials[[#This Row],[  Sales ]]</f>
        <v/>
      </c>
      <c r="U500">
        <f>Financials[[#This Row],[  Sales ]]/Financials[[#This Row],[ Units_Sold ]]</f>
        <v/>
      </c>
      <c r="V500">
        <f>Financials[[#This Row],[ Profit ]]/Financials[[#This Row],[ Units_Sold ]]</f>
        <v/>
      </c>
      <c r="W500">
        <f>IF(Financials[[#This Row],[ Profit ]]&lt;0,1,0)</f>
        <v/>
      </c>
    </row>
    <row r="501">
      <c r="A501" t="inlineStr">
        <is>
          <t>Government</t>
        </is>
      </c>
      <c r="B501" t="inlineStr">
        <is>
          <t>Germany</t>
        </is>
      </c>
      <c r="C501" t="inlineStr">
        <is>
          <t xml:space="preserve"> Carretera </t>
        </is>
      </c>
      <c r="D501" t="inlineStr">
        <is>
          <t xml:space="preserve"> High </t>
        </is>
      </c>
      <c r="E501" t="n">
        <v>792</v>
      </c>
      <c r="F501" s="69" t="n">
        <v>3</v>
      </c>
      <c r="G501" s="69" t="n">
        <v>350</v>
      </c>
      <c r="H501" s="69" t="n">
        <v>277200</v>
      </c>
      <c r="I501" s="5" t="n">
        <v>30492</v>
      </c>
      <c r="J501" s="69" t="n">
        <v>246708</v>
      </c>
      <c r="K501" s="69" t="n">
        <v>205920</v>
      </c>
      <c r="L501" s="69" t="n">
        <v>40788</v>
      </c>
      <c r="M501" s="1" t="n">
        <v>41642</v>
      </c>
      <c r="N501" t="n">
        <v>3</v>
      </c>
      <c r="O501" t="inlineStr">
        <is>
          <t xml:space="preserve"> March </t>
        </is>
      </c>
      <c r="P501" t="n">
        <v>2014</v>
      </c>
      <c r="Q501">
        <f>IF(Financials[[#This Row],[ Units_Sold ]]&lt;&gt;INT(Financials[[#This Row],[ Units_Sold ]]),1,0)</f>
        <v/>
      </c>
      <c r="R501" s="10">
        <f>Financials[[#This Row],[ Profit ]]/Financials[[#This Row],[  Sales ]]</f>
        <v/>
      </c>
      <c r="S501" s="2">
        <f>Financials[[#This Row],[ COGS ]]/Financials[[#This Row],[  Sales ]]</f>
        <v/>
      </c>
      <c r="T501" s="3">
        <f>Financials[[#This Row],[ Discounts ]]/Financials[[#This Row],[  Sales ]]</f>
        <v/>
      </c>
      <c r="U501">
        <f>Financials[[#This Row],[  Sales ]]/Financials[[#This Row],[ Units_Sold ]]</f>
        <v/>
      </c>
      <c r="V501">
        <f>Financials[[#This Row],[ Profit ]]/Financials[[#This Row],[ Units_Sold ]]</f>
        <v/>
      </c>
      <c r="W501">
        <f>IF(Financials[[#This Row],[ Profit ]]&lt;0,1,0)</f>
        <v/>
      </c>
    </row>
    <row r="502">
      <c r="A502" t="inlineStr">
        <is>
          <t>Small Business</t>
        </is>
      </c>
      <c r="B502" t="inlineStr">
        <is>
          <t>Germany</t>
        </is>
      </c>
      <c r="C502" t="inlineStr">
        <is>
          <t xml:space="preserve"> Carretera </t>
        </is>
      </c>
      <c r="D502" t="inlineStr">
        <is>
          <t xml:space="preserve"> High </t>
        </is>
      </c>
      <c r="E502" t="n">
        <v>2811</v>
      </c>
      <c r="F502" s="69" t="n">
        <v>3</v>
      </c>
      <c r="G502" s="69" t="n">
        <v>300</v>
      </c>
      <c r="H502" s="69" t="n">
        <v>843300</v>
      </c>
      <c r="I502" s="5" t="n">
        <v>92763</v>
      </c>
      <c r="J502" s="69" t="n">
        <v>750537</v>
      </c>
      <c r="K502" s="69" t="n">
        <v>702750</v>
      </c>
      <c r="L502" s="69" t="n">
        <v>47787</v>
      </c>
      <c r="M502" s="1" t="n">
        <v>41646</v>
      </c>
      <c r="N502" t="n">
        <v>7</v>
      </c>
      <c r="O502" t="inlineStr">
        <is>
          <t xml:space="preserve"> July </t>
        </is>
      </c>
      <c r="P502" t="n">
        <v>2014</v>
      </c>
      <c r="Q502">
        <f>IF(Financials[[#This Row],[ Units_Sold ]]&lt;&gt;INT(Financials[[#This Row],[ Units_Sold ]]),1,0)</f>
        <v/>
      </c>
      <c r="R502" s="10">
        <f>Financials[[#This Row],[ Profit ]]/Financials[[#This Row],[  Sales ]]</f>
        <v/>
      </c>
      <c r="S502" s="2">
        <f>Financials[[#This Row],[ COGS ]]/Financials[[#This Row],[  Sales ]]</f>
        <v/>
      </c>
      <c r="T502" s="3">
        <f>Financials[[#This Row],[ Discounts ]]/Financials[[#This Row],[  Sales ]]</f>
        <v/>
      </c>
      <c r="U502">
        <f>Financials[[#This Row],[  Sales ]]/Financials[[#This Row],[ Units_Sold ]]</f>
        <v/>
      </c>
      <c r="V502">
        <f>Financials[[#This Row],[ Profit ]]/Financials[[#This Row],[ Units_Sold ]]</f>
        <v/>
      </c>
      <c r="W502">
        <f>IF(Financials[[#This Row],[ Profit ]]&lt;0,1,0)</f>
        <v/>
      </c>
    </row>
    <row r="503">
      <c r="A503" t="inlineStr">
        <is>
          <t>Enterprise</t>
        </is>
      </c>
      <c r="B503" t="inlineStr">
        <is>
          <t>France</t>
        </is>
      </c>
      <c r="C503" t="inlineStr">
        <is>
          <t xml:space="preserve"> Carretera </t>
        </is>
      </c>
      <c r="D503" t="inlineStr">
        <is>
          <t xml:space="preserve"> High </t>
        </is>
      </c>
      <c r="E503" t="n">
        <v>2441</v>
      </c>
      <c r="F503" s="69" t="n">
        <v>3</v>
      </c>
      <c r="G503" s="69" t="n">
        <v>125</v>
      </c>
      <c r="H503" s="69" t="n">
        <v>305125</v>
      </c>
      <c r="I503" s="5" t="n">
        <v>33563.75</v>
      </c>
      <c r="J503" s="69" t="n">
        <v>271561.25</v>
      </c>
      <c r="K503" s="69" t="n">
        <v>292920</v>
      </c>
      <c r="L503" s="69" t="n">
        <v>-21358.75</v>
      </c>
      <c r="M503" s="1" t="n">
        <v>41649</v>
      </c>
      <c r="N503" t="n">
        <v>10</v>
      </c>
      <c r="O503" t="inlineStr">
        <is>
          <t xml:space="preserve"> October </t>
        </is>
      </c>
      <c r="P503" t="n">
        <v>2014</v>
      </c>
      <c r="Q503">
        <f>IF(Financials[[#This Row],[ Units_Sold ]]&lt;&gt;INT(Financials[[#This Row],[ Units_Sold ]]),1,0)</f>
        <v/>
      </c>
      <c r="R503" s="10">
        <f>Financials[[#This Row],[ Profit ]]/Financials[[#This Row],[  Sales ]]</f>
        <v/>
      </c>
      <c r="S503" s="2">
        <f>Financials[[#This Row],[ COGS ]]/Financials[[#This Row],[  Sales ]]</f>
        <v/>
      </c>
      <c r="T503" s="3">
        <f>Financials[[#This Row],[ Discounts ]]/Financials[[#This Row],[  Sales ]]</f>
        <v/>
      </c>
      <c r="U503">
        <f>Financials[[#This Row],[  Sales ]]/Financials[[#This Row],[ Units_Sold ]]</f>
        <v/>
      </c>
      <c r="V503">
        <f>Financials[[#This Row],[ Profit ]]/Financials[[#This Row],[ Units_Sold ]]</f>
        <v/>
      </c>
      <c r="W503">
        <f>IF(Financials[[#This Row],[ Profit ]]&lt;0,1,0)</f>
        <v/>
      </c>
    </row>
    <row r="504">
      <c r="A504" t="inlineStr">
        <is>
          <t>Midmarket</t>
        </is>
      </c>
      <c r="B504" t="inlineStr">
        <is>
          <t>Canada</t>
        </is>
      </c>
      <c r="C504" t="inlineStr">
        <is>
          <t xml:space="preserve"> Carretera </t>
        </is>
      </c>
      <c r="D504" t="inlineStr">
        <is>
          <t xml:space="preserve"> High </t>
        </is>
      </c>
      <c r="E504" t="n">
        <v>1560</v>
      </c>
      <c r="F504" s="69" t="n">
        <v>3</v>
      </c>
      <c r="G504" s="69" t="n">
        <v>15</v>
      </c>
      <c r="H504" s="69" t="n">
        <v>23400</v>
      </c>
      <c r="I504" s="5" t="n">
        <v>2574</v>
      </c>
      <c r="J504" s="69" t="n">
        <v>20826</v>
      </c>
      <c r="K504" s="69" t="n">
        <v>15600</v>
      </c>
      <c r="L504" s="69" t="n">
        <v>5226</v>
      </c>
      <c r="M504" s="1" t="n">
        <v>41285</v>
      </c>
      <c r="N504" t="n">
        <v>11</v>
      </c>
      <c r="O504" t="inlineStr">
        <is>
          <t xml:space="preserve"> November </t>
        </is>
      </c>
      <c r="P504" t="n">
        <v>2013</v>
      </c>
      <c r="Q504">
        <f>IF(Financials[[#This Row],[ Units_Sold ]]&lt;&gt;INT(Financials[[#This Row],[ Units_Sold ]]),1,0)</f>
        <v/>
      </c>
      <c r="R504" s="10">
        <f>Financials[[#This Row],[ Profit ]]/Financials[[#This Row],[  Sales ]]</f>
        <v/>
      </c>
      <c r="S504" s="2">
        <f>Financials[[#This Row],[ COGS ]]/Financials[[#This Row],[  Sales ]]</f>
        <v/>
      </c>
      <c r="T504" s="3">
        <f>Financials[[#This Row],[ Discounts ]]/Financials[[#This Row],[  Sales ]]</f>
        <v/>
      </c>
      <c r="U504">
        <f>Financials[[#This Row],[  Sales ]]/Financials[[#This Row],[ Units_Sold ]]</f>
        <v/>
      </c>
      <c r="V504">
        <f>Financials[[#This Row],[ Profit ]]/Financials[[#This Row],[ Units_Sold ]]</f>
        <v/>
      </c>
      <c r="W504">
        <f>IF(Financials[[#This Row],[ Profit ]]&lt;0,1,0)</f>
        <v/>
      </c>
    </row>
    <row r="505">
      <c r="A505" t="inlineStr">
        <is>
          <t>Government</t>
        </is>
      </c>
      <c r="B505" t="inlineStr">
        <is>
          <t>Mexico</t>
        </is>
      </c>
      <c r="C505" t="inlineStr">
        <is>
          <t xml:space="preserve"> Carretera </t>
        </is>
      </c>
      <c r="D505" t="inlineStr">
        <is>
          <t xml:space="preserve"> High </t>
        </is>
      </c>
      <c r="E505" t="n">
        <v>2706</v>
      </c>
      <c r="F505" s="69" t="n">
        <v>3</v>
      </c>
      <c r="G505" s="69" t="n">
        <v>7</v>
      </c>
      <c r="H505" s="69" t="n">
        <v>18942</v>
      </c>
      <c r="I505" s="5" t="n">
        <v>2083.62</v>
      </c>
      <c r="J505" s="69" t="n">
        <v>16858.38</v>
      </c>
      <c r="K505" s="69" t="n">
        <v>13530</v>
      </c>
      <c r="L505" s="69" t="n">
        <v>3328.38</v>
      </c>
      <c r="M505" s="1" t="n">
        <v>41285</v>
      </c>
      <c r="N505" t="n">
        <v>11</v>
      </c>
      <c r="O505" t="inlineStr">
        <is>
          <t xml:space="preserve"> November </t>
        </is>
      </c>
      <c r="P505" t="n">
        <v>2013</v>
      </c>
      <c r="Q505">
        <f>IF(Financials[[#This Row],[ Units_Sold ]]&lt;&gt;INT(Financials[[#This Row],[ Units_Sold ]]),1,0)</f>
        <v/>
      </c>
      <c r="R505" s="10">
        <f>Financials[[#This Row],[ Profit ]]/Financials[[#This Row],[  Sales ]]</f>
        <v/>
      </c>
      <c r="S505" s="2">
        <f>Financials[[#This Row],[ COGS ]]/Financials[[#This Row],[  Sales ]]</f>
        <v/>
      </c>
      <c r="T505" s="3">
        <f>Financials[[#This Row],[ Discounts ]]/Financials[[#This Row],[  Sales ]]</f>
        <v/>
      </c>
      <c r="U505">
        <f>Financials[[#This Row],[  Sales ]]/Financials[[#This Row],[ Units_Sold ]]</f>
        <v/>
      </c>
      <c r="V505">
        <f>Financials[[#This Row],[ Profit ]]/Financials[[#This Row],[ Units_Sold ]]</f>
        <v/>
      </c>
      <c r="W505">
        <f>IF(Financials[[#This Row],[ Profit ]]&lt;0,1,0)</f>
        <v/>
      </c>
    </row>
    <row r="506">
      <c r="A506" t="inlineStr">
        <is>
          <t>Government</t>
        </is>
      </c>
      <c r="B506" t="inlineStr">
        <is>
          <t>Germany</t>
        </is>
      </c>
      <c r="C506" t="inlineStr">
        <is>
          <t xml:space="preserve"> Montana </t>
        </is>
      </c>
      <c r="D506" t="inlineStr">
        <is>
          <t xml:space="preserve"> High </t>
        </is>
      </c>
      <c r="E506" t="n">
        <v>766</v>
      </c>
      <c r="F506" s="69" t="n">
        <v>5</v>
      </c>
      <c r="G506" s="69" t="n">
        <v>350</v>
      </c>
      <c r="H506" s="69" t="n">
        <v>268100</v>
      </c>
      <c r="I506" s="5" t="n">
        <v>29491</v>
      </c>
      <c r="J506" s="69" t="n">
        <v>238609</v>
      </c>
      <c r="K506" s="69" t="n">
        <v>199160</v>
      </c>
      <c r="L506" s="69" t="n">
        <v>39449</v>
      </c>
      <c r="M506" s="1" t="n">
        <v>41640</v>
      </c>
      <c r="N506" t="n">
        <v>1</v>
      </c>
      <c r="O506" t="inlineStr">
        <is>
          <t xml:space="preserve"> January </t>
        </is>
      </c>
      <c r="P506" t="n">
        <v>2014</v>
      </c>
      <c r="Q506">
        <f>IF(Financials[[#This Row],[ Units_Sold ]]&lt;&gt;INT(Financials[[#This Row],[ Units_Sold ]]),1,0)</f>
        <v/>
      </c>
      <c r="R506" s="10">
        <f>Financials[[#This Row],[ Profit ]]/Financials[[#This Row],[  Sales ]]</f>
        <v/>
      </c>
      <c r="S506" s="2">
        <f>Financials[[#This Row],[ COGS ]]/Financials[[#This Row],[  Sales ]]</f>
        <v/>
      </c>
      <c r="T506" s="3">
        <f>Financials[[#This Row],[ Discounts ]]/Financials[[#This Row],[  Sales ]]</f>
        <v/>
      </c>
      <c r="U506">
        <f>Financials[[#This Row],[  Sales ]]/Financials[[#This Row],[ Units_Sold ]]</f>
        <v/>
      </c>
      <c r="V506">
        <f>Financials[[#This Row],[ Profit ]]/Financials[[#This Row],[ Units_Sold ]]</f>
        <v/>
      </c>
      <c r="W506">
        <f>IF(Financials[[#This Row],[ Profit ]]&lt;0,1,0)</f>
        <v/>
      </c>
    </row>
    <row r="507">
      <c r="A507" t="inlineStr">
        <is>
          <t>Government</t>
        </is>
      </c>
      <c r="B507" t="inlineStr">
        <is>
          <t>Germany</t>
        </is>
      </c>
      <c r="C507" t="inlineStr">
        <is>
          <t xml:space="preserve"> Montana </t>
        </is>
      </c>
      <c r="D507" t="inlineStr">
        <is>
          <t xml:space="preserve"> High </t>
        </is>
      </c>
      <c r="E507" t="n">
        <v>2992</v>
      </c>
      <c r="F507" s="69" t="n">
        <v>5</v>
      </c>
      <c r="G507" s="69" t="n">
        <v>20</v>
      </c>
      <c r="H507" s="69" t="n">
        <v>59840</v>
      </c>
      <c r="I507" s="5" t="n">
        <v>6582.4</v>
      </c>
      <c r="J507" s="69" t="n">
        <v>53257.6</v>
      </c>
      <c r="K507" s="69" t="n">
        <v>29920</v>
      </c>
      <c r="L507" s="69" t="n">
        <v>23337.6</v>
      </c>
      <c r="M507" s="1" t="n">
        <v>41284</v>
      </c>
      <c r="N507" t="n">
        <v>10</v>
      </c>
      <c r="O507" t="inlineStr">
        <is>
          <t xml:space="preserve"> October </t>
        </is>
      </c>
      <c r="P507" t="n">
        <v>2013</v>
      </c>
      <c r="Q507">
        <f>IF(Financials[[#This Row],[ Units_Sold ]]&lt;&gt;INT(Financials[[#This Row],[ Units_Sold ]]),1,0)</f>
        <v/>
      </c>
      <c r="R507" s="10">
        <f>Financials[[#This Row],[ Profit ]]/Financials[[#This Row],[  Sales ]]</f>
        <v/>
      </c>
      <c r="S507" s="2">
        <f>Financials[[#This Row],[ COGS ]]/Financials[[#This Row],[  Sales ]]</f>
        <v/>
      </c>
      <c r="T507" s="3">
        <f>Financials[[#This Row],[ Discounts ]]/Financials[[#This Row],[  Sales ]]</f>
        <v/>
      </c>
      <c r="U507">
        <f>Financials[[#This Row],[  Sales ]]/Financials[[#This Row],[ Units_Sold ]]</f>
        <v/>
      </c>
      <c r="V507">
        <f>Financials[[#This Row],[ Profit ]]/Financials[[#This Row],[ Units_Sold ]]</f>
        <v/>
      </c>
      <c r="W507">
        <f>IF(Financials[[#This Row],[ Profit ]]&lt;0,1,0)</f>
        <v/>
      </c>
    </row>
    <row r="508">
      <c r="A508" t="inlineStr">
        <is>
          <t>Midmarket</t>
        </is>
      </c>
      <c r="B508" t="inlineStr">
        <is>
          <t>Mexico</t>
        </is>
      </c>
      <c r="C508" t="inlineStr">
        <is>
          <t xml:space="preserve"> Montana </t>
        </is>
      </c>
      <c r="D508" t="inlineStr">
        <is>
          <t xml:space="preserve"> High </t>
        </is>
      </c>
      <c r="E508" t="n">
        <v>2157</v>
      </c>
      <c r="F508" s="69" t="n">
        <v>5</v>
      </c>
      <c r="G508" s="69" t="n">
        <v>15</v>
      </c>
      <c r="H508" s="69" t="n">
        <v>32355</v>
      </c>
      <c r="I508" s="5" t="n">
        <v>3559.05</v>
      </c>
      <c r="J508" s="69" t="n">
        <v>28795.95</v>
      </c>
      <c r="K508" s="69" t="n">
        <v>21570</v>
      </c>
      <c r="L508" s="69" t="n">
        <v>7225.95</v>
      </c>
      <c r="M508" s="1" t="n">
        <v>41651</v>
      </c>
      <c r="N508" t="n">
        <v>12</v>
      </c>
      <c r="O508" t="inlineStr">
        <is>
          <t xml:space="preserve"> December </t>
        </is>
      </c>
      <c r="P508" t="n">
        <v>2014</v>
      </c>
      <c r="Q508">
        <f>IF(Financials[[#This Row],[ Units_Sold ]]&lt;&gt;INT(Financials[[#This Row],[ Units_Sold ]]),1,0)</f>
        <v/>
      </c>
      <c r="R508" s="10">
        <f>Financials[[#This Row],[ Profit ]]/Financials[[#This Row],[  Sales ]]</f>
        <v/>
      </c>
      <c r="S508" s="2">
        <f>Financials[[#This Row],[ COGS ]]/Financials[[#This Row],[  Sales ]]</f>
        <v/>
      </c>
      <c r="T508" s="3">
        <f>Financials[[#This Row],[ Discounts ]]/Financials[[#This Row],[  Sales ]]</f>
        <v/>
      </c>
      <c r="U508">
        <f>Financials[[#This Row],[  Sales ]]/Financials[[#This Row],[ Units_Sold ]]</f>
        <v/>
      </c>
      <c r="V508">
        <f>Financials[[#This Row],[ Profit ]]/Financials[[#This Row],[ Units_Sold ]]</f>
        <v/>
      </c>
      <c r="W508">
        <f>IF(Financials[[#This Row],[ Profit ]]&lt;0,1,0)</f>
        <v/>
      </c>
    </row>
    <row r="509">
      <c r="A509" t="inlineStr">
        <is>
          <t>Small Business</t>
        </is>
      </c>
      <c r="B509" t="inlineStr">
        <is>
          <t>Canada</t>
        </is>
      </c>
      <c r="C509" t="inlineStr">
        <is>
          <t xml:space="preserve"> Paseo </t>
        </is>
      </c>
      <c r="D509" t="inlineStr">
        <is>
          <t xml:space="preserve"> High </t>
        </is>
      </c>
      <c r="E509" t="n">
        <v>873</v>
      </c>
      <c r="F509" s="69" t="n">
        <v>10</v>
      </c>
      <c r="G509" s="69" t="n">
        <v>300</v>
      </c>
      <c r="H509" s="69" t="n">
        <v>261900</v>
      </c>
      <c r="I509" s="5" t="n">
        <v>28809</v>
      </c>
      <c r="J509" s="69" t="n">
        <v>233091</v>
      </c>
      <c r="K509" s="69" t="n">
        <v>218250</v>
      </c>
      <c r="L509" s="69" t="n">
        <v>14841</v>
      </c>
      <c r="M509" s="1" t="n">
        <v>41640</v>
      </c>
      <c r="N509" t="n">
        <v>1</v>
      </c>
      <c r="O509" t="inlineStr">
        <is>
          <t xml:space="preserve"> January </t>
        </is>
      </c>
      <c r="P509" t="n">
        <v>2014</v>
      </c>
      <c r="Q509">
        <f>IF(Financials[[#This Row],[ Units_Sold ]]&lt;&gt;INT(Financials[[#This Row],[ Units_Sold ]]),1,0)</f>
        <v/>
      </c>
      <c r="R509" s="10">
        <f>Financials[[#This Row],[ Profit ]]/Financials[[#This Row],[  Sales ]]</f>
        <v/>
      </c>
      <c r="S509" s="2">
        <f>Financials[[#This Row],[ COGS ]]/Financials[[#This Row],[  Sales ]]</f>
        <v/>
      </c>
      <c r="T509" s="3">
        <f>Financials[[#This Row],[ Discounts ]]/Financials[[#This Row],[  Sales ]]</f>
        <v/>
      </c>
      <c r="U509">
        <f>Financials[[#This Row],[  Sales ]]/Financials[[#This Row],[ Units_Sold ]]</f>
        <v/>
      </c>
      <c r="V509">
        <f>Financials[[#This Row],[ Profit ]]/Financials[[#This Row],[ Units_Sold ]]</f>
        <v/>
      </c>
      <c r="W509">
        <f>IF(Financials[[#This Row],[ Profit ]]&lt;0,1,0)</f>
        <v/>
      </c>
    </row>
    <row r="510">
      <c r="A510" t="inlineStr">
        <is>
          <t>Government</t>
        </is>
      </c>
      <c r="B510" t="inlineStr">
        <is>
          <t>Mexico</t>
        </is>
      </c>
      <c r="C510" t="inlineStr">
        <is>
          <t xml:space="preserve"> Paseo </t>
        </is>
      </c>
      <c r="D510" t="inlineStr">
        <is>
          <t xml:space="preserve"> High </t>
        </is>
      </c>
      <c r="E510" t="n">
        <v>1122</v>
      </c>
      <c r="F510" s="69" t="n">
        <v>10</v>
      </c>
      <c r="G510" s="69" t="n">
        <v>20</v>
      </c>
      <c r="H510" s="69" t="n">
        <v>22440</v>
      </c>
      <c r="I510" s="5" t="n">
        <v>2468.4</v>
      </c>
      <c r="J510" s="69" t="n">
        <v>19971.6</v>
      </c>
      <c r="K510" s="69" t="n">
        <v>11220</v>
      </c>
      <c r="L510" s="69" t="n">
        <v>8751.6</v>
      </c>
      <c r="M510" s="1" t="n">
        <v>41642</v>
      </c>
      <c r="N510" t="n">
        <v>3</v>
      </c>
      <c r="O510" t="inlineStr">
        <is>
          <t xml:space="preserve"> March </t>
        </is>
      </c>
      <c r="P510" t="n">
        <v>2014</v>
      </c>
      <c r="Q510">
        <f>IF(Financials[[#This Row],[ Units_Sold ]]&lt;&gt;INT(Financials[[#This Row],[ Units_Sold ]]),1,0)</f>
        <v/>
      </c>
      <c r="R510" s="10">
        <f>Financials[[#This Row],[ Profit ]]/Financials[[#This Row],[  Sales ]]</f>
        <v/>
      </c>
      <c r="S510" s="2">
        <f>Financials[[#This Row],[ COGS ]]/Financials[[#This Row],[  Sales ]]</f>
        <v/>
      </c>
      <c r="T510" s="3">
        <f>Financials[[#This Row],[ Discounts ]]/Financials[[#This Row],[  Sales ]]</f>
        <v/>
      </c>
      <c r="U510">
        <f>Financials[[#This Row],[  Sales ]]/Financials[[#This Row],[ Units_Sold ]]</f>
        <v/>
      </c>
      <c r="V510">
        <f>Financials[[#This Row],[ Profit ]]/Financials[[#This Row],[ Units_Sold ]]</f>
        <v/>
      </c>
      <c r="W510">
        <f>IF(Financials[[#This Row],[ Profit ]]&lt;0,1,0)</f>
        <v/>
      </c>
    </row>
    <row r="511">
      <c r="A511" t="inlineStr">
        <is>
          <t>Government</t>
        </is>
      </c>
      <c r="B511" t="inlineStr">
        <is>
          <t>Canada</t>
        </is>
      </c>
      <c r="C511" t="inlineStr">
        <is>
          <t xml:space="preserve"> Paseo </t>
        </is>
      </c>
      <c r="D511" t="inlineStr">
        <is>
          <t xml:space="preserve"> High </t>
        </is>
      </c>
      <c r="E511" t="n">
        <v>2104.5</v>
      </c>
      <c r="F511" s="69" t="n">
        <v>10</v>
      </c>
      <c r="G511" s="69" t="n">
        <v>350</v>
      </c>
      <c r="H511" s="69" t="n">
        <v>736575</v>
      </c>
      <c r="I511" s="5" t="n">
        <v>81023.25</v>
      </c>
      <c r="J511" s="69" t="n">
        <v>655551.75</v>
      </c>
      <c r="K511" s="69" t="n">
        <v>547170</v>
      </c>
      <c r="L511" s="69" t="n">
        <v>108381.75</v>
      </c>
      <c r="M511" s="1" t="n">
        <v>41646</v>
      </c>
      <c r="N511" t="n">
        <v>7</v>
      </c>
      <c r="O511" t="inlineStr">
        <is>
          <t xml:space="preserve"> July </t>
        </is>
      </c>
      <c r="P511" t="n">
        <v>2014</v>
      </c>
      <c r="Q511">
        <f>IF(Financials[[#This Row],[ Units_Sold ]]&lt;&gt;INT(Financials[[#This Row],[ Units_Sold ]]),1,0)</f>
        <v/>
      </c>
      <c r="R511" s="10">
        <f>Financials[[#This Row],[ Profit ]]/Financials[[#This Row],[  Sales ]]</f>
        <v/>
      </c>
      <c r="S511" s="2">
        <f>Financials[[#This Row],[ COGS ]]/Financials[[#This Row],[  Sales ]]</f>
        <v/>
      </c>
      <c r="T511" s="3">
        <f>Financials[[#This Row],[ Discounts ]]/Financials[[#This Row],[  Sales ]]</f>
        <v/>
      </c>
      <c r="U511">
        <f>Financials[[#This Row],[  Sales ]]/Financials[[#This Row],[ Units_Sold ]]</f>
        <v/>
      </c>
      <c r="V511">
        <f>Financials[[#This Row],[ Profit ]]/Financials[[#This Row],[ Units_Sold ]]</f>
        <v/>
      </c>
      <c r="W511">
        <f>IF(Financials[[#This Row],[ Profit ]]&lt;0,1,0)</f>
        <v/>
      </c>
    </row>
    <row r="512">
      <c r="A512" t="inlineStr">
        <is>
          <t>Channel Partners</t>
        </is>
      </c>
      <c r="B512" t="inlineStr">
        <is>
          <t>Canada</t>
        </is>
      </c>
      <c r="C512" t="inlineStr">
        <is>
          <t xml:space="preserve"> Paseo </t>
        </is>
      </c>
      <c r="D512" t="inlineStr">
        <is>
          <t xml:space="preserve"> High </t>
        </is>
      </c>
      <c r="E512" t="n">
        <v>4026</v>
      </c>
      <c r="F512" s="69" t="n">
        <v>10</v>
      </c>
      <c r="G512" s="69" t="n">
        <v>12</v>
      </c>
      <c r="H512" s="69" t="n">
        <v>48312</v>
      </c>
      <c r="I512" s="5" t="n">
        <v>5314.32</v>
      </c>
      <c r="J512" s="69" t="n">
        <v>42997.68</v>
      </c>
      <c r="K512" s="69" t="n">
        <v>12078</v>
      </c>
      <c r="L512" s="69" t="n">
        <v>30919.68</v>
      </c>
      <c r="M512" s="1" t="n">
        <v>41646</v>
      </c>
      <c r="N512" t="n">
        <v>7</v>
      </c>
      <c r="O512" t="inlineStr">
        <is>
          <t xml:space="preserve"> July </t>
        </is>
      </c>
      <c r="P512" t="n">
        <v>2014</v>
      </c>
      <c r="Q512">
        <f>IF(Financials[[#This Row],[ Units_Sold ]]&lt;&gt;INT(Financials[[#This Row],[ Units_Sold ]]),1,0)</f>
        <v/>
      </c>
      <c r="R512" s="10">
        <f>Financials[[#This Row],[ Profit ]]/Financials[[#This Row],[  Sales ]]</f>
        <v/>
      </c>
      <c r="S512" s="2">
        <f>Financials[[#This Row],[ COGS ]]/Financials[[#This Row],[  Sales ]]</f>
        <v/>
      </c>
      <c r="T512" s="3">
        <f>Financials[[#This Row],[ Discounts ]]/Financials[[#This Row],[  Sales ]]</f>
        <v/>
      </c>
      <c r="U512">
        <f>Financials[[#This Row],[  Sales ]]/Financials[[#This Row],[ Units_Sold ]]</f>
        <v/>
      </c>
      <c r="V512">
        <f>Financials[[#This Row],[ Profit ]]/Financials[[#This Row],[ Units_Sold ]]</f>
        <v/>
      </c>
      <c r="W512">
        <f>IF(Financials[[#This Row],[ Profit ]]&lt;0,1,0)</f>
        <v/>
      </c>
    </row>
    <row r="513">
      <c r="A513" t="inlineStr">
        <is>
          <t>Channel Partners</t>
        </is>
      </c>
      <c r="B513" t="inlineStr">
        <is>
          <t>France</t>
        </is>
      </c>
      <c r="C513" t="inlineStr">
        <is>
          <t xml:space="preserve"> Paseo </t>
        </is>
      </c>
      <c r="D513" t="inlineStr">
        <is>
          <t xml:space="preserve"> High </t>
        </is>
      </c>
      <c r="E513" t="n">
        <v>2425.5</v>
      </c>
      <c r="F513" s="69" t="n">
        <v>10</v>
      </c>
      <c r="G513" s="69" t="n">
        <v>12</v>
      </c>
      <c r="H513" s="69" t="n">
        <v>29106</v>
      </c>
      <c r="I513" s="5" t="n">
        <v>3201.66</v>
      </c>
      <c r="J513" s="69" t="n">
        <v>25904.34</v>
      </c>
      <c r="K513" s="69" t="n">
        <v>7276.5</v>
      </c>
      <c r="L513" s="69" t="n">
        <v>18627.84</v>
      </c>
      <c r="M513" s="1" t="n">
        <v>41646</v>
      </c>
      <c r="N513" t="n">
        <v>7</v>
      </c>
      <c r="O513" t="inlineStr">
        <is>
          <t xml:space="preserve"> July </t>
        </is>
      </c>
      <c r="P513" t="n">
        <v>2014</v>
      </c>
      <c r="Q513">
        <f>IF(Financials[[#This Row],[ Units_Sold ]]&lt;&gt;INT(Financials[[#This Row],[ Units_Sold ]]),1,0)</f>
        <v/>
      </c>
      <c r="R513" s="10">
        <f>Financials[[#This Row],[ Profit ]]/Financials[[#This Row],[  Sales ]]</f>
        <v/>
      </c>
      <c r="S513" s="2">
        <f>Financials[[#This Row],[ COGS ]]/Financials[[#This Row],[  Sales ]]</f>
        <v/>
      </c>
      <c r="T513" s="3">
        <f>Financials[[#This Row],[ Discounts ]]/Financials[[#This Row],[  Sales ]]</f>
        <v/>
      </c>
      <c r="U513">
        <f>Financials[[#This Row],[  Sales ]]/Financials[[#This Row],[ Units_Sold ]]</f>
        <v/>
      </c>
      <c r="V513">
        <f>Financials[[#This Row],[ Profit ]]/Financials[[#This Row],[ Units_Sold ]]</f>
        <v/>
      </c>
      <c r="W513">
        <f>IF(Financials[[#This Row],[ Profit ]]&lt;0,1,0)</f>
        <v/>
      </c>
    </row>
    <row r="514">
      <c r="A514" t="inlineStr">
        <is>
          <t>Government</t>
        </is>
      </c>
      <c r="B514" t="inlineStr">
        <is>
          <t>Canada</t>
        </is>
      </c>
      <c r="C514" t="inlineStr">
        <is>
          <t xml:space="preserve"> Paseo </t>
        </is>
      </c>
      <c r="D514" t="inlineStr">
        <is>
          <t xml:space="preserve"> High </t>
        </is>
      </c>
      <c r="E514" t="n">
        <v>2394</v>
      </c>
      <c r="F514" s="69" t="n">
        <v>10</v>
      </c>
      <c r="G514" s="69" t="n">
        <v>20</v>
      </c>
      <c r="H514" s="69" t="n">
        <v>47880</v>
      </c>
      <c r="I514" s="5" t="n">
        <v>5266.8</v>
      </c>
      <c r="J514" s="69" t="n">
        <v>42613.2</v>
      </c>
      <c r="K514" s="69" t="n">
        <v>23940</v>
      </c>
      <c r="L514" s="69" t="n">
        <v>18673.2</v>
      </c>
      <c r="M514" s="1" t="n">
        <v>41647</v>
      </c>
      <c r="N514" t="n">
        <v>8</v>
      </c>
      <c r="O514" t="inlineStr">
        <is>
          <t xml:space="preserve"> August </t>
        </is>
      </c>
      <c r="P514" t="n">
        <v>2014</v>
      </c>
      <c r="Q514">
        <f>IF(Financials[[#This Row],[ Units_Sold ]]&lt;&gt;INT(Financials[[#This Row],[ Units_Sold ]]),1,0)</f>
        <v/>
      </c>
      <c r="R514" s="10">
        <f>Financials[[#This Row],[ Profit ]]/Financials[[#This Row],[  Sales ]]</f>
        <v/>
      </c>
      <c r="S514" s="2">
        <f>Financials[[#This Row],[ COGS ]]/Financials[[#This Row],[  Sales ]]</f>
        <v/>
      </c>
      <c r="T514" s="3">
        <f>Financials[[#This Row],[ Discounts ]]/Financials[[#This Row],[  Sales ]]</f>
        <v/>
      </c>
      <c r="U514">
        <f>Financials[[#This Row],[  Sales ]]/Financials[[#This Row],[ Units_Sold ]]</f>
        <v/>
      </c>
      <c r="V514">
        <f>Financials[[#This Row],[ Profit ]]/Financials[[#This Row],[ Units_Sold ]]</f>
        <v/>
      </c>
      <c r="W514">
        <f>IF(Financials[[#This Row],[ Profit ]]&lt;0,1,0)</f>
        <v/>
      </c>
    </row>
    <row r="515">
      <c r="A515" t="inlineStr">
        <is>
          <t>Midmarket</t>
        </is>
      </c>
      <c r="B515" t="inlineStr">
        <is>
          <t>Mexico</t>
        </is>
      </c>
      <c r="C515" t="inlineStr">
        <is>
          <t xml:space="preserve"> Paseo </t>
        </is>
      </c>
      <c r="D515" t="inlineStr">
        <is>
          <t xml:space="preserve"> High </t>
        </is>
      </c>
      <c r="E515" t="n">
        <v>1984</v>
      </c>
      <c r="F515" s="69" t="n">
        <v>10</v>
      </c>
      <c r="G515" s="69" t="n">
        <v>15</v>
      </c>
      <c r="H515" s="69" t="n">
        <v>29760</v>
      </c>
      <c r="I515" s="5" t="n">
        <v>3273.6</v>
      </c>
      <c r="J515" s="69" t="n">
        <v>26486.4</v>
      </c>
      <c r="K515" s="69" t="n">
        <v>19840</v>
      </c>
      <c r="L515" s="69" t="n">
        <v>6646.4</v>
      </c>
      <c r="M515" s="1" t="n">
        <v>41647</v>
      </c>
      <c r="N515" t="n">
        <v>8</v>
      </c>
      <c r="O515" t="inlineStr">
        <is>
          <t xml:space="preserve"> August </t>
        </is>
      </c>
      <c r="P515" t="n">
        <v>2014</v>
      </c>
      <c r="Q515">
        <f>IF(Financials[[#This Row],[ Units_Sold ]]&lt;&gt;INT(Financials[[#This Row],[ Units_Sold ]]),1,0)</f>
        <v/>
      </c>
      <c r="R515" s="10">
        <f>Financials[[#This Row],[ Profit ]]/Financials[[#This Row],[  Sales ]]</f>
        <v/>
      </c>
      <c r="S515" s="2">
        <f>Financials[[#This Row],[ COGS ]]/Financials[[#This Row],[  Sales ]]</f>
        <v/>
      </c>
      <c r="T515" s="3">
        <f>Financials[[#This Row],[ Discounts ]]/Financials[[#This Row],[  Sales ]]</f>
        <v/>
      </c>
      <c r="U515">
        <f>Financials[[#This Row],[  Sales ]]/Financials[[#This Row],[ Units_Sold ]]</f>
        <v/>
      </c>
      <c r="V515">
        <f>Financials[[#This Row],[ Profit ]]/Financials[[#This Row],[ Units_Sold ]]</f>
        <v/>
      </c>
      <c r="W515">
        <f>IF(Financials[[#This Row],[ Profit ]]&lt;0,1,0)</f>
        <v/>
      </c>
    </row>
    <row r="516">
      <c r="A516" t="inlineStr">
        <is>
          <t>Enterprise</t>
        </is>
      </c>
      <c r="B516" t="inlineStr">
        <is>
          <t>France</t>
        </is>
      </c>
      <c r="C516" t="inlineStr">
        <is>
          <t xml:space="preserve"> Paseo </t>
        </is>
      </c>
      <c r="D516" t="inlineStr">
        <is>
          <t xml:space="preserve"> High </t>
        </is>
      </c>
      <c r="E516" t="n">
        <v>2441</v>
      </c>
      <c r="F516" s="69" t="n">
        <v>10</v>
      </c>
      <c r="G516" s="69" t="n">
        <v>125</v>
      </c>
      <c r="H516" s="69" t="n">
        <v>305125</v>
      </c>
      <c r="I516" s="5" t="n">
        <v>33563.75</v>
      </c>
      <c r="J516" s="69" t="n">
        <v>271561.25</v>
      </c>
      <c r="K516" s="69" t="n">
        <v>292920</v>
      </c>
      <c r="L516" s="69" t="n">
        <v>-21358.75</v>
      </c>
      <c r="M516" s="1" t="n">
        <v>41649</v>
      </c>
      <c r="N516" t="n">
        <v>10</v>
      </c>
      <c r="O516" t="inlineStr">
        <is>
          <t xml:space="preserve"> October </t>
        </is>
      </c>
      <c r="P516" t="n">
        <v>2014</v>
      </c>
      <c r="Q516">
        <f>IF(Financials[[#This Row],[ Units_Sold ]]&lt;&gt;INT(Financials[[#This Row],[ Units_Sold ]]),1,0)</f>
        <v/>
      </c>
      <c r="R516" s="10">
        <f>Financials[[#This Row],[ Profit ]]/Financials[[#This Row],[  Sales ]]</f>
        <v/>
      </c>
      <c r="S516" s="2">
        <f>Financials[[#This Row],[ COGS ]]/Financials[[#This Row],[  Sales ]]</f>
        <v/>
      </c>
      <c r="T516" s="3">
        <f>Financials[[#This Row],[ Discounts ]]/Financials[[#This Row],[  Sales ]]</f>
        <v/>
      </c>
      <c r="U516">
        <f>Financials[[#This Row],[  Sales ]]/Financials[[#This Row],[ Units_Sold ]]</f>
        <v/>
      </c>
      <c r="V516">
        <f>Financials[[#This Row],[ Profit ]]/Financials[[#This Row],[ Units_Sold ]]</f>
        <v/>
      </c>
      <c r="W516">
        <f>IF(Financials[[#This Row],[ Profit ]]&lt;0,1,0)</f>
        <v/>
      </c>
    </row>
    <row r="517">
      <c r="A517" t="inlineStr">
        <is>
          <t>Government</t>
        </is>
      </c>
      <c r="B517" t="inlineStr">
        <is>
          <t>Germany</t>
        </is>
      </c>
      <c r="C517" t="inlineStr">
        <is>
          <t xml:space="preserve"> Paseo </t>
        </is>
      </c>
      <c r="D517" t="inlineStr">
        <is>
          <t xml:space="preserve"> High </t>
        </is>
      </c>
      <c r="E517" t="n">
        <v>2992</v>
      </c>
      <c r="F517" s="69" t="n">
        <v>10</v>
      </c>
      <c r="G517" s="69" t="n">
        <v>20</v>
      </c>
      <c r="H517" s="69" t="n">
        <v>59840</v>
      </c>
      <c r="I517" s="5" t="n">
        <v>6582.4</v>
      </c>
      <c r="J517" s="69" t="n">
        <v>53257.6</v>
      </c>
      <c r="K517" s="69" t="n">
        <v>29920</v>
      </c>
      <c r="L517" s="69" t="n">
        <v>23337.6</v>
      </c>
      <c r="M517" s="1" t="n">
        <v>41284</v>
      </c>
      <c r="N517" t="n">
        <v>10</v>
      </c>
      <c r="O517" t="inlineStr">
        <is>
          <t xml:space="preserve"> October </t>
        </is>
      </c>
      <c r="P517" t="n">
        <v>2013</v>
      </c>
      <c r="Q517">
        <f>IF(Financials[[#This Row],[ Units_Sold ]]&lt;&gt;INT(Financials[[#This Row],[ Units_Sold ]]),1,0)</f>
        <v/>
      </c>
      <c r="R517" s="10">
        <f>Financials[[#This Row],[ Profit ]]/Financials[[#This Row],[  Sales ]]</f>
        <v/>
      </c>
      <c r="S517" s="2">
        <f>Financials[[#This Row],[ COGS ]]/Financials[[#This Row],[  Sales ]]</f>
        <v/>
      </c>
      <c r="T517" s="3">
        <f>Financials[[#This Row],[ Discounts ]]/Financials[[#This Row],[  Sales ]]</f>
        <v/>
      </c>
      <c r="U517">
        <f>Financials[[#This Row],[  Sales ]]/Financials[[#This Row],[ Units_Sold ]]</f>
        <v/>
      </c>
      <c r="V517">
        <f>Financials[[#This Row],[ Profit ]]/Financials[[#This Row],[ Units_Sold ]]</f>
        <v/>
      </c>
      <c r="W517">
        <f>IF(Financials[[#This Row],[ Profit ]]&lt;0,1,0)</f>
        <v/>
      </c>
    </row>
    <row r="518">
      <c r="A518" t="inlineStr">
        <is>
          <t>Small Business</t>
        </is>
      </c>
      <c r="B518" t="inlineStr">
        <is>
          <t>Canada</t>
        </is>
      </c>
      <c r="C518" t="inlineStr">
        <is>
          <t xml:space="preserve"> Paseo </t>
        </is>
      </c>
      <c r="D518" t="inlineStr">
        <is>
          <t xml:space="preserve"> High </t>
        </is>
      </c>
      <c r="E518" t="n">
        <v>1366</v>
      </c>
      <c r="F518" s="69" t="n">
        <v>10</v>
      </c>
      <c r="G518" s="69" t="n">
        <v>300</v>
      </c>
      <c r="H518" s="69" t="n">
        <v>409800</v>
      </c>
      <c r="I518" s="5" t="n">
        <v>45078</v>
      </c>
      <c r="J518" s="69" t="n">
        <v>364722</v>
      </c>
      <c r="K518" s="69" t="n">
        <v>341500</v>
      </c>
      <c r="L518" s="69" t="n">
        <v>23222</v>
      </c>
      <c r="M518" s="1" t="n">
        <v>41650</v>
      </c>
      <c r="N518" t="n">
        <v>11</v>
      </c>
      <c r="O518" t="inlineStr">
        <is>
          <t xml:space="preserve"> November </t>
        </is>
      </c>
      <c r="P518" t="n">
        <v>2014</v>
      </c>
      <c r="Q518">
        <f>IF(Financials[[#This Row],[ Units_Sold ]]&lt;&gt;INT(Financials[[#This Row],[ Units_Sold ]]),1,0)</f>
        <v/>
      </c>
      <c r="R518" s="10">
        <f>Financials[[#This Row],[ Profit ]]/Financials[[#This Row],[  Sales ]]</f>
        <v/>
      </c>
      <c r="S518" s="2">
        <f>Financials[[#This Row],[ COGS ]]/Financials[[#This Row],[  Sales ]]</f>
        <v/>
      </c>
      <c r="T518" s="3">
        <f>Financials[[#This Row],[ Discounts ]]/Financials[[#This Row],[  Sales ]]</f>
        <v/>
      </c>
      <c r="U518">
        <f>Financials[[#This Row],[  Sales ]]/Financials[[#This Row],[ Units_Sold ]]</f>
        <v/>
      </c>
      <c r="V518">
        <f>Financials[[#This Row],[ Profit ]]/Financials[[#This Row],[ Units_Sold ]]</f>
        <v/>
      </c>
      <c r="W518">
        <f>IF(Financials[[#This Row],[ Profit ]]&lt;0,1,0)</f>
        <v/>
      </c>
    </row>
    <row r="519">
      <c r="A519" t="inlineStr">
        <is>
          <t>Government</t>
        </is>
      </c>
      <c r="B519" t="inlineStr">
        <is>
          <t>France</t>
        </is>
      </c>
      <c r="C519" t="inlineStr">
        <is>
          <t xml:space="preserve"> Velo </t>
        </is>
      </c>
      <c r="D519" t="inlineStr">
        <is>
          <t xml:space="preserve"> High </t>
        </is>
      </c>
      <c r="E519" t="n">
        <v>2805</v>
      </c>
      <c r="F519" s="69" t="n">
        <v>120</v>
      </c>
      <c r="G519" s="69" t="n">
        <v>20</v>
      </c>
      <c r="H519" s="69" t="n">
        <v>56100</v>
      </c>
      <c r="I519" s="5" t="n">
        <v>6171</v>
      </c>
      <c r="J519" s="69" t="n">
        <v>49929</v>
      </c>
      <c r="K519" s="69" t="n">
        <v>28050</v>
      </c>
      <c r="L519" s="69" t="n">
        <v>21879</v>
      </c>
      <c r="M519" s="1" t="n">
        <v>41283</v>
      </c>
      <c r="N519" t="n">
        <v>9</v>
      </c>
      <c r="O519" t="inlineStr">
        <is>
          <t xml:space="preserve"> September </t>
        </is>
      </c>
      <c r="P519" t="n">
        <v>2013</v>
      </c>
      <c r="Q519">
        <f>IF(Financials[[#This Row],[ Units_Sold ]]&lt;&gt;INT(Financials[[#This Row],[ Units_Sold ]]),1,0)</f>
        <v/>
      </c>
      <c r="R519" s="10">
        <f>Financials[[#This Row],[ Profit ]]/Financials[[#This Row],[  Sales ]]</f>
        <v/>
      </c>
      <c r="S519" s="2">
        <f>Financials[[#This Row],[ COGS ]]/Financials[[#This Row],[  Sales ]]</f>
        <v/>
      </c>
      <c r="T519" s="3">
        <f>Financials[[#This Row],[ Discounts ]]/Financials[[#This Row],[  Sales ]]</f>
        <v/>
      </c>
      <c r="U519">
        <f>Financials[[#This Row],[  Sales ]]/Financials[[#This Row],[ Units_Sold ]]</f>
        <v/>
      </c>
      <c r="V519">
        <f>Financials[[#This Row],[ Profit ]]/Financials[[#This Row],[ Units_Sold ]]</f>
        <v/>
      </c>
      <c r="W519">
        <f>IF(Financials[[#This Row],[ Profit ]]&lt;0,1,0)</f>
        <v/>
      </c>
    </row>
    <row r="520">
      <c r="A520" t="inlineStr">
        <is>
          <t>Midmarket</t>
        </is>
      </c>
      <c r="B520" t="inlineStr">
        <is>
          <t>Mexico</t>
        </is>
      </c>
      <c r="C520" t="inlineStr">
        <is>
          <t xml:space="preserve"> Velo </t>
        </is>
      </c>
      <c r="D520" t="inlineStr">
        <is>
          <t xml:space="preserve"> High </t>
        </is>
      </c>
      <c r="E520" t="n">
        <v>655</v>
      </c>
      <c r="F520" s="69" t="n">
        <v>120</v>
      </c>
      <c r="G520" s="69" t="n">
        <v>15</v>
      </c>
      <c r="H520" s="69" t="n">
        <v>9825</v>
      </c>
      <c r="I520" s="5" t="n">
        <v>1080.75</v>
      </c>
      <c r="J520" s="69" t="n">
        <v>8744.25</v>
      </c>
      <c r="K520" s="69" t="n">
        <v>6550</v>
      </c>
      <c r="L520" s="69" t="n">
        <v>2194.25</v>
      </c>
      <c r="M520" s="1" t="n">
        <v>41283</v>
      </c>
      <c r="N520" t="n">
        <v>9</v>
      </c>
      <c r="O520" t="inlineStr">
        <is>
          <t xml:space="preserve"> September </t>
        </is>
      </c>
      <c r="P520" t="n">
        <v>2013</v>
      </c>
      <c r="Q520">
        <f>IF(Financials[[#This Row],[ Units_Sold ]]&lt;&gt;INT(Financials[[#This Row],[ Units_Sold ]]),1,0)</f>
        <v/>
      </c>
      <c r="R520" s="10">
        <f>Financials[[#This Row],[ Profit ]]/Financials[[#This Row],[  Sales ]]</f>
        <v/>
      </c>
      <c r="S520" s="2">
        <f>Financials[[#This Row],[ COGS ]]/Financials[[#This Row],[  Sales ]]</f>
        <v/>
      </c>
      <c r="T520" s="3">
        <f>Financials[[#This Row],[ Discounts ]]/Financials[[#This Row],[  Sales ]]</f>
        <v/>
      </c>
      <c r="U520">
        <f>Financials[[#This Row],[  Sales ]]/Financials[[#This Row],[ Units_Sold ]]</f>
        <v/>
      </c>
      <c r="V520">
        <f>Financials[[#This Row],[ Profit ]]/Financials[[#This Row],[ Units_Sold ]]</f>
        <v/>
      </c>
      <c r="W520">
        <f>IF(Financials[[#This Row],[ Profit ]]&lt;0,1,0)</f>
        <v/>
      </c>
    </row>
    <row r="521">
      <c r="A521" t="inlineStr">
        <is>
          <t>Government</t>
        </is>
      </c>
      <c r="B521" t="inlineStr">
        <is>
          <t>Mexico</t>
        </is>
      </c>
      <c r="C521" t="inlineStr">
        <is>
          <t xml:space="preserve"> Velo </t>
        </is>
      </c>
      <c r="D521" t="inlineStr">
        <is>
          <t xml:space="preserve"> High </t>
        </is>
      </c>
      <c r="E521" t="n">
        <v>344</v>
      </c>
      <c r="F521" s="69" t="n">
        <v>120</v>
      </c>
      <c r="G521" s="69" t="n">
        <v>350</v>
      </c>
      <c r="H521" s="69" t="n">
        <v>120400</v>
      </c>
      <c r="I521" s="5" t="n">
        <v>13244</v>
      </c>
      <c r="J521" s="69" t="n">
        <v>107156</v>
      </c>
      <c r="K521" s="69" t="n">
        <v>89440</v>
      </c>
      <c r="L521" s="69" t="n">
        <v>17716</v>
      </c>
      <c r="M521" s="1" t="n">
        <v>41284</v>
      </c>
      <c r="N521" t="n">
        <v>10</v>
      </c>
      <c r="O521" t="inlineStr">
        <is>
          <t xml:space="preserve"> October </t>
        </is>
      </c>
      <c r="P521" t="n">
        <v>2013</v>
      </c>
      <c r="Q521">
        <f>IF(Financials[[#This Row],[ Units_Sold ]]&lt;&gt;INT(Financials[[#This Row],[ Units_Sold ]]),1,0)</f>
        <v/>
      </c>
      <c r="R521" s="10">
        <f>Financials[[#This Row],[ Profit ]]/Financials[[#This Row],[  Sales ]]</f>
        <v/>
      </c>
      <c r="S521" s="2">
        <f>Financials[[#This Row],[ COGS ]]/Financials[[#This Row],[  Sales ]]</f>
        <v/>
      </c>
      <c r="T521" s="3">
        <f>Financials[[#This Row],[ Discounts ]]/Financials[[#This Row],[  Sales ]]</f>
        <v/>
      </c>
      <c r="U521">
        <f>Financials[[#This Row],[  Sales ]]/Financials[[#This Row],[ Units_Sold ]]</f>
        <v/>
      </c>
      <c r="V521">
        <f>Financials[[#This Row],[ Profit ]]/Financials[[#This Row],[ Units_Sold ]]</f>
        <v/>
      </c>
      <c r="W521">
        <f>IF(Financials[[#This Row],[ Profit ]]&lt;0,1,0)</f>
        <v/>
      </c>
    </row>
    <row r="522">
      <c r="A522" t="inlineStr">
        <is>
          <t>Government</t>
        </is>
      </c>
      <c r="B522" t="inlineStr">
        <is>
          <t>Canada</t>
        </is>
      </c>
      <c r="C522" t="inlineStr">
        <is>
          <t xml:space="preserve"> Velo </t>
        </is>
      </c>
      <c r="D522" t="inlineStr">
        <is>
          <t xml:space="preserve"> High </t>
        </is>
      </c>
      <c r="E522" t="n">
        <v>1808</v>
      </c>
      <c r="F522" s="69" t="n">
        <v>120</v>
      </c>
      <c r="G522" s="69" t="n">
        <v>7</v>
      </c>
      <c r="H522" s="69" t="n">
        <v>12656</v>
      </c>
      <c r="I522" s="5" t="n">
        <v>1392.16</v>
      </c>
      <c r="J522" s="69" t="n">
        <v>11263.84</v>
      </c>
      <c r="K522" s="69" t="n">
        <v>9040</v>
      </c>
      <c r="L522" s="69" t="n">
        <v>2223.84</v>
      </c>
      <c r="M522" s="1" t="n">
        <v>41650</v>
      </c>
      <c r="N522" t="n">
        <v>11</v>
      </c>
      <c r="O522" t="inlineStr">
        <is>
          <t xml:space="preserve"> November </t>
        </is>
      </c>
      <c r="P522" t="n">
        <v>2014</v>
      </c>
      <c r="Q522">
        <f>IF(Financials[[#This Row],[ Units_Sold ]]&lt;&gt;INT(Financials[[#This Row],[ Units_Sold ]]),1,0)</f>
        <v/>
      </c>
      <c r="R522" s="10">
        <f>Financials[[#This Row],[ Profit ]]/Financials[[#This Row],[  Sales ]]</f>
        <v/>
      </c>
      <c r="S522" s="2">
        <f>Financials[[#This Row],[ COGS ]]/Financials[[#This Row],[  Sales ]]</f>
        <v/>
      </c>
      <c r="T522" s="3">
        <f>Financials[[#This Row],[ Discounts ]]/Financials[[#This Row],[  Sales ]]</f>
        <v/>
      </c>
      <c r="U522">
        <f>Financials[[#This Row],[  Sales ]]/Financials[[#This Row],[ Units_Sold ]]</f>
        <v/>
      </c>
      <c r="V522">
        <f>Financials[[#This Row],[ Profit ]]/Financials[[#This Row],[ Units_Sold ]]</f>
        <v/>
      </c>
      <c r="W522">
        <f>IF(Financials[[#This Row],[ Profit ]]&lt;0,1,0)</f>
        <v/>
      </c>
    </row>
    <row r="523">
      <c r="A523" t="inlineStr">
        <is>
          <t>Channel Partners</t>
        </is>
      </c>
      <c r="B523" t="inlineStr">
        <is>
          <t>France</t>
        </is>
      </c>
      <c r="C523" t="inlineStr">
        <is>
          <t xml:space="preserve"> VTT </t>
        </is>
      </c>
      <c r="D523" t="inlineStr">
        <is>
          <t xml:space="preserve"> High </t>
        </is>
      </c>
      <c r="E523" t="n">
        <v>1734</v>
      </c>
      <c r="F523" s="69" t="n">
        <v>250</v>
      </c>
      <c r="G523" s="69" t="n">
        <v>12</v>
      </c>
      <c r="H523" s="69" t="n">
        <v>20808</v>
      </c>
      <c r="I523" s="5" t="n">
        <v>2288.88</v>
      </c>
      <c r="J523" s="69" t="n">
        <v>18519.12</v>
      </c>
      <c r="K523" s="69" t="n">
        <v>5202</v>
      </c>
      <c r="L523" s="69" t="n">
        <v>13317.12</v>
      </c>
      <c r="M523" s="1" t="n">
        <v>41640</v>
      </c>
      <c r="N523" t="n">
        <v>1</v>
      </c>
      <c r="O523" t="inlineStr">
        <is>
          <t xml:space="preserve"> January </t>
        </is>
      </c>
      <c r="P523" t="n">
        <v>2014</v>
      </c>
      <c r="Q523">
        <f>IF(Financials[[#This Row],[ Units_Sold ]]&lt;&gt;INT(Financials[[#This Row],[ Units_Sold ]]),1,0)</f>
        <v/>
      </c>
      <c r="R523" s="10">
        <f>Financials[[#This Row],[ Profit ]]/Financials[[#This Row],[  Sales ]]</f>
        <v/>
      </c>
      <c r="S523" s="2">
        <f>Financials[[#This Row],[ COGS ]]/Financials[[#This Row],[  Sales ]]</f>
        <v/>
      </c>
      <c r="T523" s="3">
        <f>Financials[[#This Row],[ Discounts ]]/Financials[[#This Row],[  Sales ]]</f>
        <v/>
      </c>
      <c r="U523">
        <f>Financials[[#This Row],[  Sales ]]/Financials[[#This Row],[ Units_Sold ]]</f>
        <v/>
      </c>
      <c r="V523">
        <f>Financials[[#This Row],[ Profit ]]/Financials[[#This Row],[ Units_Sold ]]</f>
        <v/>
      </c>
      <c r="W523">
        <f>IF(Financials[[#This Row],[ Profit ]]&lt;0,1,0)</f>
        <v/>
      </c>
    </row>
    <row r="524">
      <c r="A524" t="inlineStr">
        <is>
          <t>Enterprise</t>
        </is>
      </c>
      <c r="B524" t="inlineStr">
        <is>
          <t>Mexico</t>
        </is>
      </c>
      <c r="C524" t="inlineStr">
        <is>
          <t xml:space="preserve"> VTT </t>
        </is>
      </c>
      <c r="D524" t="inlineStr">
        <is>
          <t xml:space="preserve"> High </t>
        </is>
      </c>
      <c r="E524" t="n">
        <v>554</v>
      </c>
      <c r="F524" s="69" t="n">
        <v>250</v>
      </c>
      <c r="G524" s="69" t="n">
        <v>125</v>
      </c>
      <c r="H524" s="69" t="n">
        <v>69250</v>
      </c>
      <c r="I524" s="5" t="n">
        <v>7617.5</v>
      </c>
      <c r="J524" s="69" t="n">
        <v>61632.5</v>
      </c>
      <c r="K524" s="69" t="n">
        <v>66480</v>
      </c>
      <c r="L524" s="69" t="n">
        <v>-4847.5</v>
      </c>
      <c r="M524" s="1" t="n">
        <v>41640</v>
      </c>
      <c r="N524" t="n">
        <v>1</v>
      </c>
      <c r="O524" t="inlineStr">
        <is>
          <t xml:space="preserve"> January </t>
        </is>
      </c>
      <c r="P524" t="n">
        <v>2014</v>
      </c>
      <c r="Q524">
        <f>IF(Financials[[#This Row],[ Units_Sold ]]&lt;&gt;INT(Financials[[#This Row],[ Units_Sold ]]),1,0)</f>
        <v/>
      </c>
      <c r="R524" s="10">
        <f>Financials[[#This Row],[ Profit ]]/Financials[[#This Row],[  Sales ]]</f>
        <v/>
      </c>
      <c r="S524" s="2">
        <f>Financials[[#This Row],[ COGS ]]/Financials[[#This Row],[  Sales ]]</f>
        <v/>
      </c>
      <c r="T524" s="3">
        <f>Financials[[#This Row],[ Discounts ]]/Financials[[#This Row],[  Sales ]]</f>
        <v/>
      </c>
      <c r="U524">
        <f>Financials[[#This Row],[  Sales ]]/Financials[[#This Row],[ Units_Sold ]]</f>
        <v/>
      </c>
      <c r="V524">
        <f>Financials[[#This Row],[ Profit ]]/Financials[[#This Row],[ Units_Sold ]]</f>
        <v/>
      </c>
      <c r="W524">
        <f>IF(Financials[[#This Row],[ Profit ]]&lt;0,1,0)</f>
        <v/>
      </c>
    </row>
    <row r="525">
      <c r="A525" t="inlineStr">
        <is>
          <t>Government</t>
        </is>
      </c>
      <c r="B525" t="inlineStr">
        <is>
          <t>Canada</t>
        </is>
      </c>
      <c r="C525" t="inlineStr">
        <is>
          <t xml:space="preserve"> VTT </t>
        </is>
      </c>
      <c r="D525" t="inlineStr">
        <is>
          <t xml:space="preserve"> High </t>
        </is>
      </c>
      <c r="E525" t="n">
        <v>2935</v>
      </c>
      <c r="F525" s="69" t="n">
        <v>250</v>
      </c>
      <c r="G525" s="69" t="n">
        <v>20</v>
      </c>
      <c r="H525" s="69" t="n">
        <v>58700</v>
      </c>
      <c r="I525" s="5" t="n">
        <v>6457</v>
      </c>
      <c r="J525" s="69" t="n">
        <v>52243</v>
      </c>
      <c r="K525" s="69" t="n">
        <v>29350</v>
      </c>
      <c r="L525" s="69" t="n">
        <v>22893</v>
      </c>
      <c r="M525" s="1" t="n">
        <v>41285</v>
      </c>
      <c r="N525" t="n">
        <v>11</v>
      </c>
      <c r="O525" t="inlineStr">
        <is>
          <t xml:space="preserve"> November </t>
        </is>
      </c>
      <c r="P525" t="n">
        <v>2013</v>
      </c>
      <c r="Q525">
        <f>IF(Financials[[#This Row],[ Units_Sold ]]&lt;&gt;INT(Financials[[#This Row],[ Units_Sold ]]),1,0)</f>
        <v/>
      </c>
      <c r="R525" s="10">
        <f>Financials[[#This Row],[ Profit ]]/Financials[[#This Row],[  Sales ]]</f>
        <v/>
      </c>
      <c r="S525" s="2">
        <f>Financials[[#This Row],[ COGS ]]/Financials[[#This Row],[  Sales ]]</f>
        <v/>
      </c>
      <c r="T525" s="3">
        <f>Financials[[#This Row],[ Discounts ]]/Financials[[#This Row],[  Sales ]]</f>
        <v/>
      </c>
      <c r="U525">
        <f>Financials[[#This Row],[  Sales ]]/Financials[[#This Row],[ Units_Sold ]]</f>
        <v/>
      </c>
      <c r="V525">
        <f>Financials[[#This Row],[ Profit ]]/Financials[[#This Row],[ Units_Sold ]]</f>
        <v/>
      </c>
      <c r="W525">
        <f>IF(Financials[[#This Row],[ Profit ]]&lt;0,1,0)</f>
        <v/>
      </c>
    </row>
    <row r="526">
      <c r="A526" t="inlineStr">
        <is>
          <t>Enterprise</t>
        </is>
      </c>
      <c r="B526" t="inlineStr">
        <is>
          <t>Germany</t>
        </is>
      </c>
      <c r="C526" t="inlineStr">
        <is>
          <t xml:space="preserve"> Amarilla </t>
        </is>
      </c>
      <c r="D526" t="inlineStr">
        <is>
          <t xml:space="preserve"> High </t>
        </is>
      </c>
      <c r="E526" t="n">
        <v>3165</v>
      </c>
      <c r="F526" s="69" t="n">
        <v>260</v>
      </c>
      <c r="G526" s="69" t="n">
        <v>125</v>
      </c>
      <c r="H526" s="69" t="n">
        <v>395625</v>
      </c>
      <c r="I526" s="5" t="n">
        <v>43518.75</v>
      </c>
      <c r="J526" s="69" t="n">
        <v>352106.25</v>
      </c>
      <c r="K526" s="69" t="n">
        <v>379800</v>
      </c>
      <c r="L526" s="69" t="n">
        <v>-27693.75</v>
      </c>
      <c r="M526" s="1" t="n">
        <v>41640</v>
      </c>
      <c r="N526" t="n">
        <v>1</v>
      </c>
      <c r="O526" t="inlineStr">
        <is>
          <t xml:space="preserve"> January </t>
        </is>
      </c>
      <c r="P526" t="n">
        <v>2014</v>
      </c>
      <c r="Q526">
        <f>IF(Financials[[#This Row],[ Units_Sold ]]&lt;&gt;INT(Financials[[#This Row],[ Units_Sold ]]),1,0)</f>
        <v/>
      </c>
      <c r="R526" s="10">
        <f>Financials[[#This Row],[ Profit ]]/Financials[[#This Row],[  Sales ]]</f>
        <v/>
      </c>
      <c r="S526" s="2">
        <f>Financials[[#This Row],[ COGS ]]/Financials[[#This Row],[  Sales ]]</f>
        <v/>
      </c>
      <c r="T526" s="3">
        <f>Financials[[#This Row],[ Discounts ]]/Financials[[#This Row],[  Sales ]]</f>
        <v/>
      </c>
      <c r="U526">
        <f>Financials[[#This Row],[  Sales ]]/Financials[[#This Row],[ Units_Sold ]]</f>
        <v/>
      </c>
      <c r="V526">
        <f>Financials[[#This Row],[ Profit ]]/Financials[[#This Row],[ Units_Sold ]]</f>
        <v/>
      </c>
      <c r="W526">
        <f>IF(Financials[[#This Row],[ Profit ]]&lt;0,1,0)</f>
        <v/>
      </c>
    </row>
    <row r="527">
      <c r="A527" t="inlineStr">
        <is>
          <t>Government</t>
        </is>
      </c>
      <c r="B527" t="inlineStr">
        <is>
          <t>Mexico</t>
        </is>
      </c>
      <c r="C527" t="inlineStr">
        <is>
          <t xml:space="preserve"> Amarilla </t>
        </is>
      </c>
      <c r="D527" t="inlineStr">
        <is>
          <t xml:space="preserve"> High </t>
        </is>
      </c>
      <c r="E527" t="n">
        <v>2629</v>
      </c>
      <c r="F527" s="69" t="n">
        <v>260</v>
      </c>
      <c r="G527" s="69" t="n">
        <v>20</v>
      </c>
      <c r="H527" s="69" t="n">
        <v>52580</v>
      </c>
      <c r="I527" s="5" t="n">
        <v>5783.8</v>
      </c>
      <c r="J527" s="69" t="n">
        <v>46796.2</v>
      </c>
      <c r="K527" s="69" t="n">
        <v>26290</v>
      </c>
      <c r="L527" s="69" t="n">
        <v>20506.2</v>
      </c>
      <c r="M527" s="1" t="n">
        <v>41640</v>
      </c>
      <c r="N527" t="n">
        <v>1</v>
      </c>
      <c r="O527" t="inlineStr">
        <is>
          <t xml:space="preserve"> January </t>
        </is>
      </c>
      <c r="P527" t="n">
        <v>2014</v>
      </c>
      <c r="Q527">
        <f>IF(Financials[[#This Row],[ Units_Sold ]]&lt;&gt;INT(Financials[[#This Row],[ Units_Sold ]]),1,0)</f>
        <v/>
      </c>
      <c r="R527" s="10">
        <f>Financials[[#This Row],[ Profit ]]/Financials[[#This Row],[  Sales ]]</f>
        <v/>
      </c>
      <c r="S527" s="2">
        <f>Financials[[#This Row],[ COGS ]]/Financials[[#This Row],[  Sales ]]</f>
        <v/>
      </c>
      <c r="T527" s="3">
        <f>Financials[[#This Row],[ Discounts ]]/Financials[[#This Row],[  Sales ]]</f>
        <v/>
      </c>
      <c r="U527">
        <f>Financials[[#This Row],[  Sales ]]/Financials[[#This Row],[ Units_Sold ]]</f>
        <v/>
      </c>
      <c r="V527">
        <f>Financials[[#This Row],[ Profit ]]/Financials[[#This Row],[ Units_Sold ]]</f>
        <v/>
      </c>
      <c r="W527">
        <f>IF(Financials[[#This Row],[ Profit ]]&lt;0,1,0)</f>
        <v/>
      </c>
    </row>
    <row r="528">
      <c r="A528" t="inlineStr">
        <is>
          <t>Enterprise</t>
        </is>
      </c>
      <c r="B528" t="inlineStr">
        <is>
          <t>France</t>
        </is>
      </c>
      <c r="C528" t="inlineStr">
        <is>
          <t xml:space="preserve"> Amarilla </t>
        </is>
      </c>
      <c r="D528" t="inlineStr">
        <is>
          <t xml:space="preserve"> High </t>
        </is>
      </c>
      <c r="E528" t="n">
        <v>1433</v>
      </c>
      <c r="F528" s="69" t="n">
        <v>260</v>
      </c>
      <c r="G528" s="69" t="n">
        <v>125</v>
      </c>
      <c r="H528" s="69" t="n">
        <v>179125</v>
      </c>
      <c r="I528" s="5" t="n">
        <v>19703.75</v>
      </c>
      <c r="J528" s="69" t="n">
        <v>159421.25</v>
      </c>
      <c r="K528" s="69" t="n">
        <v>171960</v>
      </c>
      <c r="L528" s="69" t="n">
        <v>-12538.75</v>
      </c>
      <c r="M528" s="1" t="n">
        <v>41644</v>
      </c>
      <c r="N528" t="n">
        <v>5</v>
      </c>
      <c r="O528" t="inlineStr">
        <is>
          <t xml:space="preserve"> May </t>
        </is>
      </c>
      <c r="P528" t="n">
        <v>2014</v>
      </c>
      <c r="Q528">
        <f>IF(Financials[[#This Row],[ Units_Sold ]]&lt;&gt;INT(Financials[[#This Row],[ Units_Sold ]]),1,0)</f>
        <v/>
      </c>
      <c r="R528" s="10">
        <f>Financials[[#This Row],[ Profit ]]/Financials[[#This Row],[  Sales ]]</f>
        <v/>
      </c>
      <c r="S528" s="2">
        <f>Financials[[#This Row],[ COGS ]]/Financials[[#This Row],[  Sales ]]</f>
        <v/>
      </c>
      <c r="T528" s="3">
        <f>Financials[[#This Row],[ Discounts ]]/Financials[[#This Row],[  Sales ]]</f>
        <v/>
      </c>
      <c r="U528">
        <f>Financials[[#This Row],[  Sales ]]/Financials[[#This Row],[ Units_Sold ]]</f>
        <v/>
      </c>
      <c r="V528">
        <f>Financials[[#This Row],[ Profit ]]/Financials[[#This Row],[ Units_Sold ]]</f>
        <v/>
      </c>
      <c r="W528">
        <f>IF(Financials[[#This Row],[ Profit ]]&lt;0,1,0)</f>
        <v/>
      </c>
    </row>
    <row r="529">
      <c r="A529" t="inlineStr">
        <is>
          <t>Enterprise</t>
        </is>
      </c>
      <c r="B529" t="inlineStr">
        <is>
          <t>Mexico</t>
        </is>
      </c>
      <c r="C529" t="inlineStr">
        <is>
          <t xml:space="preserve"> Amarilla </t>
        </is>
      </c>
      <c r="D529" t="inlineStr">
        <is>
          <t xml:space="preserve"> High </t>
        </is>
      </c>
      <c r="E529" t="n">
        <v>947</v>
      </c>
      <c r="F529" s="69" t="n">
        <v>260</v>
      </c>
      <c r="G529" s="69" t="n">
        <v>125</v>
      </c>
      <c r="H529" s="69" t="n">
        <v>118375</v>
      </c>
      <c r="I529" s="5" t="n">
        <v>13021.25</v>
      </c>
      <c r="J529" s="69" t="n">
        <v>105353.75</v>
      </c>
      <c r="K529" s="69" t="n">
        <v>113640</v>
      </c>
      <c r="L529" s="69" t="n">
        <v>-8286.25</v>
      </c>
      <c r="M529" s="1" t="n">
        <v>41283</v>
      </c>
      <c r="N529" t="n">
        <v>9</v>
      </c>
      <c r="O529" t="inlineStr">
        <is>
          <t xml:space="preserve"> September </t>
        </is>
      </c>
      <c r="P529" t="n">
        <v>2013</v>
      </c>
      <c r="Q529">
        <f>IF(Financials[[#This Row],[ Units_Sold ]]&lt;&gt;INT(Financials[[#This Row],[ Units_Sold ]]),1,0)</f>
        <v/>
      </c>
      <c r="R529" s="10">
        <f>Financials[[#This Row],[ Profit ]]/Financials[[#This Row],[  Sales ]]</f>
        <v/>
      </c>
      <c r="S529" s="2">
        <f>Financials[[#This Row],[ COGS ]]/Financials[[#This Row],[  Sales ]]</f>
        <v/>
      </c>
      <c r="T529" s="3">
        <f>Financials[[#This Row],[ Discounts ]]/Financials[[#This Row],[  Sales ]]</f>
        <v/>
      </c>
      <c r="U529">
        <f>Financials[[#This Row],[  Sales ]]/Financials[[#This Row],[ Units_Sold ]]</f>
        <v/>
      </c>
      <c r="V529">
        <f>Financials[[#This Row],[ Profit ]]/Financials[[#This Row],[ Units_Sold ]]</f>
        <v/>
      </c>
      <c r="W529">
        <f>IF(Financials[[#This Row],[ Profit ]]&lt;0,1,0)</f>
        <v/>
      </c>
    </row>
    <row r="530">
      <c r="A530" t="inlineStr">
        <is>
          <t>Government</t>
        </is>
      </c>
      <c r="B530" t="inlineStr">
        <is>
          <t>Mexico</t>
        </is>
      </c>
      <c r="C530" t="inlineStr">
        <is>
          <t xml:space="preserve"> Amarilla </t>
        </is>
      </c>
      <c r="D530" t="inlineStr">
        <is>
          <t xml:space="preserve"> High </t>
        </is>
      </c>
      <c r="E530" t="n">
        <v>344</v>
      </c>
      <c r="F530" s="69" t="n">
        <v>260</v>
      </c>
      <c r="G530" s="69" t="n">
        <v>350</v>
      </c>
      <c r="H530" s="69" t="n">
        <v>120400</v>
      </c>
      <c r="I530" s="5" t="n">
        <v>13244</v>
      </c>
      <c r="J530" s="69" t="n">
        <v>107156</v>
      </c>
      <c r="K530" s="69" t="n">
        <v>89440</v>
      </c>
      <c r="L530" s="69" t="n">
        <v>17716</v>
      </c>
      <c r="M530" s="1" t="n">
        <v>41284</v>
      </c>
      <c r="N530" t="n">
        <v>10</v>
      </c>
      <c r="O530" t="inlineStr">
        <is>
          <t xml:space="preserve"> October </t>
        </is>
      </c>
      <c r="P530" t="n">
        <v>2013</v>
      </c>
      <c r="Q530">
        <f>IF(Financials[[#This Row],[ Units_Sold ]]&lt;&gt;INT(Financials[[#This Row],[ Units_Sold ]]),1,0)</f>
        <v/>
      </c>
      <c r="R530" s="10">
        <f>Financials[[#This Row],[ Profit ]]/Financials[[#This Row],[  Sales ]]</f>
        <v/>
      </c>
      <c r="S530" s="2">
        <f>Financials[[#This Row],[ COGS ]]/Financials[[#This Row],[  Sales ]]</f>
        <v/>
      </c>
      <c r="T530" s="3">
        <f>Financials[[#This Row],[ Discounts ]]/Financials[[#This Row],[  Sales ]]</f>
        <v/>
      </c>
      <c r="U530">
        <f>Financials[[#This Row],[  Sales ]]/Financials[[#This Row],[ Units_Sold ]]</f>
        <v/>
      </c>
      <c r="V530">
        <f>Financials[[#This Row],[ Profit ]]/Financials[[#This Row],[ Units_Sold ]]</f>
        <v/>
      </c>
      <c r="W530">
        <f>IF(Financials[[#This Row],[ Profit ]]&lt;0,1,0)</f>
        <v/>
      </c>
    </row>
    <row r="531">
      <c r="A531" t="inlineStr">
        <is>
          <t>Midmarket</t>
        </is>
      </c>
      <c r="B531" t="inlineStr">
        <is>
          <t>Mexico</t>
        </is>
      </c>
      <c r="C531" t="inlineStr">
        <is>
          <t xml:space="preserve"> Amarilla </t>
        </is>
      </c>
      <c r="D531" t="inlineStr">
        <is>
          <t xml:space="preserve"> High </t>
        </is>
      </c>
      <c r="E531" t="n">
        <v>2157</v>
      </c>
      <c r="F531" s="69" t="n">
        <v>260</v>
      </c>
      <c r="G531" s="69" t="n">
        <v>15</v>
      </c>
      <c r="H531" s="69" t="n">
        <v>32355</v>
      </c>
      <c r="I531" s="5" t="n">
        <v>3559.05</v>
      </c>
      <c r="J531" s="69" t="n">
        <v>28795.95</v>
      </c>
      <c r="K531" s="69" t="n">
        <v>21570</v>
      </c>
      <c r="L531" s="69" t="n">
        <v>7225.95</v>
      </c>
      <c r="M531" s="1" t="n">
        <v>41651</v>
      </c>
      <c r="N531" t="n">
        <v>12</v>
      </c>
      <c r="O531" t="inlineStr">
        <is>
          <t xml:space="preserve"> December </t>
        </is>
      </c>
      <c r="P531" t="n">
        <v>2014</v>
      </c>
      <c r="Q531">
        <f>IF(Financials[[#This Row],[ Units_Sold ]]&lt;&gt;INT(Financials[[#This Row],[ Units_Sold ]]),1,0)</f>
        <v/>
      </c>
      <c r="R531" s="10">
        <f>Financials[[#This Row],[ Profit ]]/Financials[[#This Row],[  Sales ]]</f>
        <v/>
      </c>
      <c r="S531" s="2">
        <f>Financials[[#This Row],[ COGS ]]/Financials[[#This Row],[  Sales ]]</f>
        <v/>
      </c>
      <c r="T531" s="3">
        <f>Financials[[#This Row],[ Discounts ]]/Financials[[#This Row],[  Sales ]]</f>
        <v/>
      </c>
      <c r="U531">
        <f>Financials[[#This Row],[  Sales ]]/Financials[[#This Row],[ Units_Sold ]]</f>
        <v/>
      </c>
      <c r="V531">
        <f>Financials[[#This Row],[ Profit ]]/Financials[[#This Row],[ Units_Sold ]]</f>
        <v/>
      </c>
      <c r="W531">
        <f>IF(Financials[[#This Row],[ Profit ]]&lt;0,1,0)</f>
        <v/>
      </c>
    </row>
    <row r="532">
      <c r="A532" t="inlineStr">
        <is>
          <t>Government</t>
        </is>
      </c>
      <c r="B532" t="inlineStr">
        <is>
          <t>United States of America</t>
        </is>
      </c>
      <c r="C532" t="inlineStr">
        <is>
          <t xml:space="preserve"> Paseo </t>
        </is>
      </c>
      <c r="D532" t="inlineStr">
        <is>
          <t xml:space="preserve"> High </t>
        </is>
      </c>
      <c r="E532" t="n">
        <v>380</v>
      </c>
      <c r="F532" s="69" t="n">
        <v>10</v>
      </c>
      <c r="G532" s="69" t="n">
        <v>7</v>
      </c>
      <c r="H532" s="69" t="n">
        <v>2660</v>
      </c>
      <c r="I532" s="5" t="n">
        <v>292.6</v>
      </c>
      <c r="J532" s="69" t="n">
        <v>2367.4</v>
      </c>
      <c r="K532" s="69" t="n">
        <v>1900</v>
      </c>
      <c r="L532" s="69" t="n">
        <v>467.4</v>
      </c>
      <c r="M532" s="1" t="n">
        <v>41283</v>
      </c>
      <c r="N532" t="n">
        <v>9</v>
      </c>
      <c r="O532" t="inlineStr">
        <is>
          <t xml:space="preserve"> September </t>
        </is>
      </c>
      <c r="P532" t="n">
        <v>2013</v>
      </c>
      <c r="Q532">
        <f>IF(Financials[[#This Row],[ Units_Sold ]]&lt;&gt;INT(Financials[[#This Row],[ Units_Sold ]]),1,0)</f>
        <v/>
      </c>
      <c r="R532" s="10">
        <f>Financials[[#This Row],[ Profit ]]/Financials[[#This Row],[  Sales ]]</f>
        <v/>
      </c>
      <c r="S532" s="2">
        <f>Financials[[#This Row],[ COGS ]]/Financials[[#This Row],[  Sales ]]</f>
        <v/>
      </c>
      <c r="T532" s="3">
        <f>Financials[[#This Row],[ Discounts ]]/Financials[[#This Row],[  Sales ]]</f>
        <v/>
      </c>
      <c r="U532">
        <f>Financials[[#This Row],[  Sales ]]/Financials[[#This Row],[ Units_Sold ]]</f>
        <v/>
      </c>
      <c r="V532">
        <f>Financials[[#This Row],[ Profit ]]/Financials[[#This Row],[ Units_Sold ]]</f>
        <v/>
      </c>
      <c r="W532">
        <f>IF(Financials[[#This Row],[ Profit ]]&lt;0,1,0)</f>
        <v/>
      </c>
    </row>
    <row r="533">
      <c r="A533" t="inlineStr">
        <is>
          <t>Government</t>
        </is>
      </c>
      <c r="B533" t="inlineStr">
        <is>
          <t>Mexico</t>
        </is>
      </c>
      <c r="C533" t="inlineStr">
        <is>
          <t xml:space="preserve"> Carretera </t>
        </is>
      </c>
      <c r="D533" t="inlineStr">
        <is>
          <t xml:space="preserve"> High </t>
        </is>
      </c>
      <c r="E533" t="n">
        <v>886</v>
      </c>
      <c r="F533" s="69" t="n">
        <v>3</v>
      </c>
      <c r="G533" s="69" t="n">
        <v>350</v>
      </c>
      <c r="H533" s="69" t="n">
        <v>310100</v>
      </c>
      <c r="I533" s="5" t="n">
        <v>37212</v>
      </c>
      <c r="J533" s="69" t="n">
        <v>272888</v>
      </c>
      <c r="K533" s="69" t="n">
        <v>230360</v>
      </c>
      <c r="L533" s="69" t="n">
        <v>42528</v>
      </c>
      <c r="M533" s="1" t="n">
        <v>41645</v>
      </c>
      <c r="N533" t="n">
        <v>6</v>
      </c>
      <c r="O533" t="inlineStr">
        <is>
          <t xml:space="preserve"> June </t>
        </is>
      </c>
      <c r="P533" t="n">
        <v>2014</v>
      </c>
      <c r="Q533">
        <f>IF(Financials[[#This Row],[ Units_Sold ]]&lt;&gt;INT(Financials[[#This Row],[ Units_Sold ]]),1,0)</f>
        <v/>
      </c>
      <c r="R533" s="10">
        <f>Financials[[#This Row],[ Profit ]]/Financials[[#This Row],[  Sales ]]</f>
        <v/>
      </c>
      <c r="S533" s="2">
        <f>Financials[[#This Row],[ COGS ]]/Financials[[#This Row],[  Sales ]]</f>
        <v/>
      </c>
      <c r="T533" s="3">
        <f>Financials[[#This Row],[ Discounts ]]/Financials[[#This Row],[  Sales ]]</f>
        <v/>
      </c>
      <c r="U533">
        <f>Financials[[#This Row],[  Sales ]]/Financials[[#This Row],[ Units_Sold ]]</f>
        <v/>
      </c>
      <c r="V533">
        <f>Financials[[#This Row],[ Profit ]]/Financials[[#This Row],[ Units_Sold ]]</f>
        <v/>
      </c>
      <c r="W533">
        <f>IF(Financials[[#This Row],[ Profit ]]&lt;0,1,0)</f>
        <v/>
      </c>
    </row>
    <row r="534">
      <c r="A534" t="inlineStr">
        <is>
          <t>Enterprise</t>
        </is>
      </c>
      <c r="B534" t="inlineStr">
        <is>
          <t>Canada</t>
        </is>
      </c>
      <c r="C534" t="inlineStr">
        <is>
          <t xml:space="preserve"> Carretera </t>
        </is>
      </c>
      <c r="D534" t="inlineStr">
        <is>
          <t xml:space="preserve"> High </t>
        </is>
      </c>
      <c r="E534" t="n">
        <v>2416</v>
      </c>
      <c r="F534" s="69" t="n">
        <v>3</v>
      </c>
      <c r="G534" s="69" t="n">
        <v>125</v>
      </c>
      <c r="H534" s="69" t="n">
        <v>302000</v>
      </c>
      <c r="I534" s="5" t="n">
        <v>36240</v>
      </c>
      <c r="J534" s="69" t="n">
        <v>265760</v>
      </c>
      <c r="K534" s="69" t="n">
        <v>289920</v>
      </c>
      <c r="L534" s="69" t="n">
        <v>-24160</v>
      </c>
      <c r="M534" s="1" t="n">
        <v>41283</v>
      </c>
      <c r="N534" t="n">
        <v>9</v>
      </c>
      <c r="O534" t="inlineStr">
        <is>
          <t xml:space="preserve"> September </t>
        </is>
      </c>
      <c r="P534" t="n">
        <v>2013</v>
      </c>
      <c r="Q534">
        <f>IF(Financials[[#This Row],[ Units_Sold ]]&lt;&gt;INT(Financials[[#This Row],[ Units_Sold ]]),1,0)</f>
        <v/>
      </c>
      <c r="R534" s="10">
        <f>Financials[[#This Row],[ Profit ]]/Financials[[#This Row],[  Sales ]]</f>
        <v/>
      </c>
      <c r="S534" s="2">
        <f>Financials[[#This Row],[ COGS ]]/Financials[[#This Row],[  Sales ]]</f>
        <v/>
      </c>
      <c r="T534" s="3">
        <f>Financials[[#This Row],[ Discounts ]]/Financials[[#This Row],[  Sales ]]</f>
        <v/>
      </c>
      <c r="U534">
        <f>Financials[[#This Row],[  Sales ]]/Financials[[#This Row],[ Units_Sold ]]</f>
        <v/>
      </c>
      <c r="V534">
        <f>Financials[[#This Row],[ Profit ]]/Financials[[#This Row],[ Units_Sold ]]</f>
        <v/>
      </c>
      <c r="W534">
        <f>IF(Financials[[#This Row],[ Profit ]]&lt;0,1,0)</f>
        <v/>
      </c>
    </row>
    <row r="535">
      <c r="A535" t="inlineStr">
        <is>
          <t>Enterprise</t>
        </is>
      </c>
      <c r="B535" t="inlineStr">
        <is>
          <t>Mexico</t>
        </is>
      </c>
      <c r="C535" t="inlineStr">
        <is>
          <t xml:space="preserve"> Carretera </t>
        </is>
      </c>
      <c r="D535" t="inlineStr">
        <is>
          <t xml:space="preserve"> High </t>
        </is>
      </c>
      <c r="E535" t="n">
        <v>2156</v>
      </c>
      <c r="F535" s="69" t="n">
        <v>3</v>
      </c>
      <c r="G535" s="69" t="n">
        <v>125</v>
      </c>
      <c r="H535" s="69" t="n">
        <v>269500</v>
      </c>
      <c r="I535" s="5" t="n">
        <v>32340</v>
      </c>
      <c r="J535" s="69" t="n">
        <v>237160</v>
      </c>
      <c r="K535" s="69" t="n">
        <v>258720</v>
      </c>
      <c r="L535" s="69" t="n">
        <v>-21560</v>
      </c>
      <c r="M535" s="1" t="n">
        <v>41649</v>
      </c>
      <c r="N535" t="n">
        <v>10</v>
      </c>
      <c r="O535" t="inlineStr">
        <is>
          <t xml:space="preserve"> October </t>
        </is>
      </c>
      <c r="P535" t="n">
        <v>2014</v>
      </c>
      <c r="Q535">
        <f>IF(Financials[[#This Row],[ Units_Sold ]]&lt;&gt;INT(Financials[[#This Row],[ Units_Sold ]]),1,0)</f>
        <v/>
      </c>
      <c r="R535" s="10">
        <f>Financials[[#This Row],[ Profit ]]/Financials[[#This Row],[  Sales ]]</f>
        <v/>
      </c>
      <c r="S535" s="2">
        <f>Financials[[#This Row],[ COGS ]]/Financials[[#This Row],[  Sales ]]</f>
        <v/>
      </c>
      <c r="T535" s="3">
        <f>Financials[[#This Row],[ Discounts ]]/Financials[[#This Row],[  Sales ]]</f>
        <v/>
      </c>
      <c r="U535">
        <f>Financials[[#This Row],[  Sales ]]/Financials[[#This Row],[ Units_Sold ]]</f>
        <v/>
      </c>
      <c r="V535">
        <f>Financials[[#This Row],[ Profit ]]/Financials[[#This Row],[ Units_Sold ]]</f>
        <v/>
      </c>
      <c r="W535">
        <f>IF(Financials[[#This Row],[ Profit ]]&lt;0,1,0)</f>
        <v/>
      </c>
    </row>
    <row r="536">
      <c r="A536" t="inlineStr">
        <is>
          <t>Midmarket</t>
        </is>
      </c>
      <c r="B536" t="inlineStr">
        <is>
          <t>Canada</t>
        </is>
      </c>
      <c r="C536" t="inlineStr">
        <is>
          <t xml:space="preserve"> Carretera </t>
        </is>
      </c>
      <c r="D536" t="inlineStr">
        <is>
          <t xml:space="preserve"> High </t>
        </is>
      </c>
      <c r="E536" t="n">
        <v>2689</v>
      </c>
      <c r="F536" s="69" t="n">
        <v>3</v>
      </c>
      <c r="G536" s="69" t="n">
        <v>15</v>
      </c>
      <c r="H536" s="69" t="n">
        <v>40335</v>
      </c>
      <c r="I536" s="5" t="n">
        <v>4840.2</v>
      </c>
      <c r="J536" s="69" t="n">
        <v>35494.8</v>
      </c>
      <c r="K536" s="69" t="n">
        <v>26890</v>
      </c>
      <c r="L536" s="69" t="n">
        <v>8604.799999999999</v>
      </c>
      <c r="M536" s="1" t="n">
        <v>41650</v>
      </c>
      <c r="N536" t="n">
        <v>11</v>
      </c>
      <c r="O536" t="inlineStr">
        <is>
          <t xml:space="preserve"> November </t>
        </is>
      </c>
      <c r="P536" t="n">
        <v>2014</v>
      </c>
      <c r="Q536">
        <f>IF(Financials[[#This Row],[ Units_Sold ]]&lt;&gt;INT(Financials[[#This Row],[ Units_Sold ]]),1,0)</f>
        <v/>
      </c>
      <c r="R536" s="10">
        <f>Financials[[#This Row],[ Profit ]]/Financials[[#This Row],[  Sales ]]</f>
        <v/>
      </c>
      <c r="S536" s="2">
        <f>Financials[[#This Row],[ COGS ]]/Financials[[#This Row],[  Sales ]]</f>
        <v/>
      </c>
      <c r="T536" s="3">
        <f>Financials[[#This Row],[ Discounts ]]/Financials[[#This Row],[  Sales ]]</f>
        <v/>
      </c>
      <c r="U536">
        <f>Financials[[#This Row],[  Sales ]]/Financials[[#This Row],[ Units_Sold ]]</f>
        <v/>
      </c>
      <c r="V536">
        <f>Financials[[#This Row],[ Profit ]]/Financials[[#This Row],[ Units_Sold ]]</f>
        <v/>
      </c>
      <c r="W536">
        <f>IF(Financials[[#This Row],[ Profit ]]&lt;0,1,0)</f>
        <v/>
      </c>
    </row>
    <row r="537">
      <c r="A537" t="inlineStr">
        <is>
          <t>Midmarket</t>
        </is>
      </c>
      <c r="B537" t="inlineStr">
        <is>
          <t>United States of America</t>
        </is>
      </c>
      <c r="C537" t="inlineStr">
        <is>
          <t xml:space="preserve"> Montana </t>
        </is>
      </c>
      <c r="D537" t="inlineStr">
        <is>
          <t xml:space="preserve"> High </t>
        </is>
      </c>
      <c r="E537" t="n">
        <v>677</v>
      </c>
      <c r="F537" s="69" t="n">
        <v>5</v>
      </c>
      <c r="G537" s="69" t="n">
        <v>15</v>
      </c>
      <c r="H537" s="69" t="n">
        <v>10155</v>
      </c>
      <c r="I537" s="5" t="n">
        <v>1218.6</v>
      </c>
      <c r="J537" s="69" t="n">
        <v>8936.4</v>
      </c>
      <c r="K537" s="69" t="n">
        <v>6770</v>
      </c>
      <c r="L537" s="69" t="n">
        <v>2166.4</v>
      </c>
      <c r="M537" s="1" t="n">
        <v>41642</v>
      </c>
      <c r="N537" t="n">
        <v>3</v>
      </c>
      <c r="O537" t="inlineStr">
        <is>
          <t xml:space="preserve"> March </t>
        </is>
      </c>
      <c r="P537" t="n">
        <v>2014</v>
      </c>
      <c r="Q537">
        <f>IF(Financials[[#This Row],[ Units_Sold ]]&lt;&gt;INT(Financials[[#This Row],[ Units_Sold ]]),1,0)</f>
        <v/>
      </c>
      <c r="R537" s="10">
        <f>Financials[[#This Row],[ Profit ]]/Financials[[#This Row],[  Sales ]]</f>
        <v/>
      </c>
      <c r="S537" s="2">
        <f>Financials[[#This Row],[ COGS ]]/Financials[[#This Row],[  Sales ]]</f>
        <v/>
      </c>
      <c r="T537" s="3">
        <f>Financials[[#This Row],[ Discounts ]]/Financials[[#This Row],[  Sales ]]</f>
        <v/>
      </c>
      <c r="U537">
        <f>Financials[[#This Row],[  Sales ]]/Financials[[#This Row],[ Units_Sold ]]</f>
        <v/>
      </c>
      <c r="V537">
        <f>Financials[[#This Row],[ Profit ]]/Financials[[#This Row],[ Units_Sold ]]</f>
        <v/>
      </c>
      <c r="W537">
        <f>IF(Financials[[#This Row],[ Profit ]]&lt;0,1,0)</f>
        <v/>
      </c>
    </row>
    <row r="538">
      <c r="A538" t="inlineStr">
        <is>
          <t>Small Business</t>
        </is>
      </c>
      <c r="B538" t="inlineStr">
        <is>
          <t>France</t>
        </is>
      </c>
      <c r="C538" t="inlineStr">
        <is>
          <t xml:space="preserve"> Montana </t>
        </is>
      </c>
      <c r="D538" t="inlineStr">
        <is>
          <t xml:space="preserve"> High </t>
        </is>
      </c>
      <c r="E538" t="n">
        <v>1773</v>
      </c>
      <c r="F538" s="69" t="n">
        <v>5</v>
      </c>
      <c r="G538" s="69" t="n">
        <v>300</v>
      </c>
      <c r="H538" s="69" t="n">
        <v>531900</v>
      </c>
      <c r="I538" s="5" t="n">
        <v>63828</v>
      </c>
      <c r="J538" s="69" t="n">
        <v>468072</v>
      </c>
      <c r="K538" s="69" t="n">
        <v>443250</v>
      </c>
      <c r="L538" s="69" t="n">
        <v>24822</v>
      </c>
      <c r="M538" s="1" t="n">
        <v>41643</v>
      </c>
      <c r="N538" t="n">
        <v>4</v>
      </c>
      <c r="O538" t="inlineStr">
        <is>
          <t xml:space="preserve"> April </t>
        </is>
      </c>
      <c r="P538" t="n">
        <v>2014</v>
      </c>
      <c r="Q538">
        <f>IF(Financials[[#This Row],[ Units_Sold ]]&lt;&gt;INT(Financials[[#This Row],[ Units_Sold ]]),1,0)</f>
        <v/>
      </c>
      <c r="R538" s="10">
        <f>Financials[[#This Row],[ Profit ]]/Financials[[#This Row],[  Sales ]]</f>
        <v/>
      </c>
      <c r="S538" s="2">
        <f>Financials[[#This Row],[ COGS ]]/Financials[[#This Row],[  Sales ]]</f>
        <v/>
      </c>
      <c r="T538" s="3">
        <f>Financials[[#This Row],[ Discounts ]]/Financials[[#This Row],[  Sales ]]</f>
        <v/>
      </c>
      <c r="U538">
        <f>Financials[[#This Row],[  Sales ]]/Financials[[#This Row],[ Units_Sold ]]</f>
        <v/>
      </c>
      <c r="V538">
        <f>Financials[[#This Row],[ Profit ]]/Financials[[#This Row],[ Units_Sold ]]</f>
        <v/>
      </c>
      <c r="W538">
        <f>IF(Financials[[#This Row],[ Profit ]]&lt;0,1,0)</f>
        <v/>
      </c>
    </row>
    <row r="539">
      <c r="A539" t="inlineStr">
        <is>
          <t>Government</t>
        </is>
      </c>
      <c r="B539" t="inlineStr">
        <is>
          <t>Mexico</t>
        </is>
      </c>
      <c r="C539" t="inlineStr">
        <is>
          <t xml:space="preserve"> Montana </t>
        </is>
      </c>
      <c r="D539" t="inlineStr">
        <is>
          <t xml:space="preserve"> High </t>
        </is>
      </c>
      <c r="E539" t="n">
        <v>2420</v>
      </c>
      <c r="F539" s="69" t="n">
        <v>5</v>
      </c>
      <c r="G539" s="69" t="n">
        <v>7</v>
      </c>
      <c r="H539" s="69" t="n">
        <v>16940</v>
      </c>
      <c r="I539" s="5" t="n">
        <v>2032.8</v>
      </c>
      <c r="J539" s="69" t="n">
        <v>14907.2</v>
      </c>
      <c r="K539" s="69" t="n">
        <v>12100</v>
      </c>
      <c r="L539" s="69" t="n">
        <v>2807.2</v>
      </c>
      <c r="M539" s="1" t="n">
        <v>41648</v>
      </c>
      <c r="N539" t="n">
        <v>9</v>
      </c>
      <c r="O539" t="inlineStr">
        <is>
          <t xml:space="preserve"> September </t>
        </is>
      </c>
      <c r="P539" t="n">
        <v>2014</v>
      </c>
      <c r="Q539">
        <f>IF(Financials[[#This Row],[ Units_Sold ]]&lt;&gt;INT(Financials[[#This Row],[ Units_Sold ]]),1,0)</f>
        <v/>
      </c>
      <c r="R539" s="10">
        <f>Financials[[#This Row],[ Profit ]]/Financials[[#This Row],[  Sales ]]</f>
        <v/>
      </c>
      <c r="S539" s="2">
        <f>Financials[[#This Row],[ COGS ]]/Financials[[#This Row],[  Sales ]]</f>
        <v/>
      </c>
      <c r="T539" s="3">
        <f>Financials[[#This Row],[ Discounts ]]/Financials[[#This Row],[  Sales ]]</f>
        <v/>
      </c>
      <c r="U539">
        <f>Financials[[#This Row],[  Sales ]]/Financials[[#This Row],[ Units_Sold ]]</f>
        <v/>
      </c>
      <c r="V539">
        <f>Financials[[#This Row],[ Profit ]]/Financials[[#This Row],[ Units_Sold ]]</f>
        <v/>
      </c>
      <c r="W539">
        <f>IF(Financials[[#This Row],[ Profit ]]&lt;0,1,0)</f>
        <v/>
      </c>
    </row>
    <row r="540">
      <c r="A540" t="inlineStr">
        <is>
          <t>Government</t>
        </is>
      </c>
      <c r="B540" t="inlineStr">
        <is>
          <t>Canada</t>
        </is>
      </c>
      <c r="C540" t="inlineStr">
        <is>
          <t xml:space="preserve"> Montana </t>
        </is>
      </c>
      <c r="D540" t="inlineStr">
        <is>
          <t xml:space="preserve"> High </t>
        </is>
      </c>
      <c r="E540" t="n">
        <v>2734</v>
      </c>
      <c r="F540" s="69" t="n">
        <v>5</v>
      </c>
      <c r="G540" s="69" t="n">
        <v>7</v>
      </c>
      <c r="H540" s="69" t="n">
        <v>19138</v>
      </c>
      <c r="I540" s="5" t="n">
        <v>2296.56</v>
      </c>
      <c r="J540" s="69" t="n">
        <v>16841.44</v>
      </c>
      <c r="K540" s="69" t="n">
        <v>13670</v>
      </c>
      <c r="L540" s="69" t="n">
        <v>3171.44</v>
      </c>
      <c r="M540" s="1" t="n">
        <v>41649</v>
      </c>
      <c r="N540" t="n">
        <v>10</v>
      </c>
      <c r="O540" t="inlineStr">
        <is>
          <t xml:space="preserve"> October </t>
        </is>
      </c>
      <c r="P540" t="n">
        <v>2014</v>
      </c>
      <c r="Q540">
        <f>IF(Financials[[#This Row],[ Units_Sold ]]&lt;&gt;INT(Financials[[#This Row],[ Units_Sold ]]),1,0)</f>
        <v/>
      </c>
      <c r="R540" s="10">
        <f>Financials[[#This Row],[ Profit ]]/Financials[[#This Row],[  Sales ]]</f>
        <v/>
      </c>
      <c r="S540" s="2">
        <f>Financials[[#This Row],[ COGS ]]/Financials[[#This Row],[  Sales ]]</f>
        <v/>
      </c>
      <c r="T540" s="3">
        <f>Financials[[#This Row],[ Discounts ]]/Financials[[#This Row],[  Sales ]]</f>
        <v/>
      </c>
      <c r="U540">
        <f>Financials[[#This Row],[  Sales ]]/Financials[[#This Row],[ Units_Sold ]]</f>
        <v/>
      </c>
      <c r="V540">
        <f>Financials[[#This Row],[ Profit ]]/Financials[[#This Row],[ Units_Sold ]]</f>
        <v/>
      </c>
      <c r="W540">
        <f>IF(Financials[[#This Row],[ Profit ]]&lt;0,1,0)</f>
        <v/>
      </c>
    </row>
    <row r="541">
      <c r="A541" t="inlineStr">
        <is>
          <t>Government</t>
        </is>
      </c>
      <c r="B541" t="inlineStr">
        <is>
          <t>Mexico</t>
        </is>
      </c>
      <c r="C541" t="inlineStr">
        <is>
          <t xml:space="preserve"> Montana </t>
        </is>
      </c>
      <c r="D541" t="inlineStr">
        <is>
          <t xml:space="preserve"> High </t>
        </is>
      </c>
      <c r="E541" t="n">
        <v>1715</v>
      </c>
      <c r="F541" s="69" t="n">
        <v>5</v>
      </c>
      <c r="G541" s="69" t="n">
        <v>20</v>
      </c>
      <c r="H541" s="69" t="n">
        <v>34300</v>
      </c>
      <c r="I541" s="5" t="n">
        <v>4116</v>
      </c>
      <c r="J541" s="69" t="n">
        <v>30184</v>
      </c>
      <c r="K541" s="69" t="n">
        <v>17150</v>
      </c>
      <c r="L541" s="69" t="n">
        <v>13034</v>
      </c>
      <c r="M541" s="1" t="n">
        <v>41284</v>
      </c>
      <c r="N541" t="n">
        <v>10</v>
      </c>
      <c r="O541" t="inlineStr">
        <is>
          <t xml:space="preserve"> October </t>
        </is>
      </c>
      <c r="P541" t="n">
        <v>2013</v>
      </c>
      <c r="Q541">
        <f>IF(Financials[[#This Row],[ Units_Sold ]]&lt;&gt;INT(Financials[[#This Row],[ Units_Sold ]]),1,0)</f>
        <v/>
      </c>
      <c r="R541" s="10">
        <f>Financials[[#This Row],[ Profit ]]/Financials[[#This Row],[  Sales ]]</f>
        <v/>
      </c>
      <c r="S541" s="2">
        <f>Financials[[#This Row],[ COGS ]]/Financials[[#This Row],[  Sales ]]</f>
        <v/>
      </c>
      <c r="T541" s="3">
        <f>Financials[[#This Row],[ Discounts ]]/Financials[[#This Row],[  Sales ]]</f>
        <v/>
      </c>
      <c r="U541">
        <f>Financials[[#This Row],[  Sales ]]/Financials[[#This Row],[ Units_Sold ]]</f>
        <v/>
      </c>
      <c r="V541">
        <f>Financials[[#This Row],[ Profit ]]/Financials[[#This Row],[ Units_Sold ]]</f>
        <v/>
      </c>
      <c r="W541">
        <f>IF(Financials[[#This Row],[ Profit ]]&lt;0,1,0)</f>
        <v/>
      </c>
    </row>
    <row r="542">
      <c r="A542" t="inlineStr">
        <is>
          <t>Small Business</t>
        </is>
      </c>
      <c r="B542" t="inlineStr">
        <is>
          <t>France</t>
        </is>
      </c>
      <c r="C542" t="inlineStr">
        <is>
          <t xml:space="preserve"> Montana </t>
        </is>
      </c>
      <c r="D542" t="inlineStr">
        <is>
          <t xml:space="preserve"> High </t>
        </is>
      </c>
      <c r="E542" t="n">
        <v>1186</v>
      </c>
      <c r="F542" s="69" t="n">
        <v>5</v>
      </c>
      <c r="G542" s="69" t="n">
        <v>300</v>
      </c>
      <c r="H542" s="69" t="n">
        <v>355800</v>
      </c>
      <c r="I542" s="5" t="n">
        <v>42696</v>
      </c>
      <c r="J542" s="69" t="n">
        <v>313104</v>
      </c>
      <c r="K542" s="69" t="n">
        <v>296500</v>
      </c>
      <c r="L542" s="69" t="n">
        <v>16604</v>
      </c>
      <c r="M542" s="1" t="n">
        <v>41286</v>
      </c>
      <c r="N542" t="n">
        <v>12</v>
      </c>
      <c r="O542" t="inlineStr">
        <is>
          <t xml:space="preserve"> December </t>
        </is>
      </c>
      <c r="P542" t="n">
        <v>2013</v>
      </c>
      <c r="Q542">
        <f>IF(Financials[[#This Row],[ Units_Sold ]]&lt;&gt;INT(Financials[[#This Row],[ Units_Sold ]]),1,0)</f>
        <v/>
      </c>
      <c r="R542" s="10">
        <f>Financials[[#This Row],[ Profit ]]/Financials[[#This Row],[  Sales ]]</f>
        <v/>
      </c>
      <c r="S542" s="2">
        <f>Financials[[#This Row],[ COGS ]]/Financials[[#This Row],[  Sales ]]</f>
        <v/>
      </c>
      <c r="T542" s="3">
        <f>Financials[[#This Row],[ Discounts ]]/Financials[[#This Row],[  Sales ]]</f>
        <v/>
      </c>
      <c r="U542">
        <f>Financials[[#This Row],[  Sales ]]/Financials[[#This Row],[ Units_Sold ]]</f>
        <v/>
      </c>
      <c r="V542">
        <f>Financials[[#This Row],[ Profit ]]/Financials[[#This Row],[ Units_Sold ]]</f>
        <v/>
      </c>
      <c r="W542">
        <f>IF(Financials[[#This Row],[ Profit ]]&lt;0,1,0)</f>
        <v/>
      </c>
    </row>
    <row r="543">
      <c r="A543" t="inlineStr">
        <is>
          <t>Small Business</t>
        </is>
      </c>
      <c r="B543" t="inlineStr">
        <is>
          <t>United States of America</t>
        </is>
      </c>
      <c r="C543" t="inlineStr">
        <is>
          <t xml:space="preserve"> Paseo </t>
        </is>
      </c>
      <c r="D543" t="inlineStr">
        <is>
          <t xml:space="preserve"> High </t>
        </is>
      </c>
      <c r="E543" t="n">
        <v>3495</v>
      </c>
      <c r="F543" s="69" t="n">
        <v>10</v>
      </c>
      <c r="G543" s="69" t="n">
        <v>300</v>
      </c>
      <c r="H543" s="69" t="n">
        <v>1048500</v>
      </c>
      <c r="I543" s="5" t="n">
        <v>125820</v>
      </c>
      <c r="J543" s="69" t="n">
        <v>922680</v>
      </c>
      <c r="K543" s="69" t="n">
        <v>873750</v>
      </c>
      <c r="L543" s="69" t="n">
        <v>48930</v>
      </c>
      <c r="M543" s="1" t="n">
        <v>41640</v>
      </c>
      <c r="N543" t="n">
        <v>1</v>
      </c>
      <c r="O543" t="inlineStr">
        <is>
          <t xml:space="preserve"> January </t>
        </is>
      </c>
      <c r="P543" t="n">
        <v>2014</v>
      </c>
      <c r="Q543">
        <f>IF(Financials[[#This Row],[ Units_Sold ]]&lt;&gt;INT(Financials[[#This Row],[ Units_Sold ]]),1,0)</f>
        <v/>
      </c>
      <c r="R543" s="10">
        <f>Financials[[#This Row],[ Profit ]]/Financials[[#This Row],[  Sales ]]</f>
        <v/>
      </c>
      <c r="S543" s="2">
        <f>Financials[[#This Row],[ COGS ]]/Financials[[#This Row],[  Sales ]]</f>
        <v/>
      </c>
      <c r="T543" s="3">
        <f>Financials[[#This Row],[ Discounts ]]/Financials[[#This Row],[  Sales ]]</f>
        <v/>
      </c>
      <c r="U543">
        <f>Financials[[#This Row],[  Sales ]]/Financials[[#This Row],[ Units_Sold ]]</f>
        <v/>
      </c>
      <c r="V543">
        <f>Financials[[#This Row],[ Profit ]]/Financials[[#This Row],[ Units_Sold ]]</f>
        <v/>
      </c>
      <c r="W543">
        <f>IF(Financials[[#This Row],[ Profit ]]&lt;0,1,0)</f>
        <v/>
      </c>
    </row>
    <row r="544">
      <c r="A544" t="inlineStr">
        <is>
          <t>Government</t>
        </is>
      </c>
      <c r="B544" t="inlineStr">
        <is>
          <t>Mexico</t>
        </is>
      </c>
      <c r="C544" t="inlineStr">
        <is>
          <t xml:space="preserve"> Paseo </t>
        </is>
      </c>
      <c r="D544" t="inlineStr">
        <is>
          <t xml:space="preserve"> High </t>
        </is>
      </c>
      <c r="E544" t="n">
        <v>886</v>
      </c>
      <c r="F544" s="69" t="n">
        <v>10</v>
      </c>
      <c r="G544" s="69" t="n">
        <v>350</v>
      </c>
      <c r="H544" s="69" t="n">
        <v>310100</v>
      </c>
      <c r="I544" s="5" t="n">
        <v>37212</v>
      </c>
      <c r="J544" s="69" t="n">
        <v>272888</v>
      </c>
      <c r="K544" s="69" t="n">
        <v>230360</v>
      </c>
      <c r="L544" s="69" t="n">
        <v>42528</v>
      </c>
      <c r="M544" s="1" t="n">
        <v>41645</v>
      </c>
      <c r="N544" t="n">
        <v>6</v>
      </c>
      <c r="O544" t="inlineStr">
        <is>
          <t xml:space="preserve"> June </t>
        </is>
      </c>
      <c r="P544" t="n">
        <v>2014</v>
      </c>
      <c r="Q544">
        <f>IF(Financials[[#This Row],[ Units_Sold ]]&lt;&gt;INT(Financials[[#This Row],[ Units_Sold ]]),1,0)</f>
        <v/>
      </c>
      <c r="R544" s="10">
        <f>Financials[[#This Row],[ Profit ]]/Financials[[#This Row],[  Sales ]]</f>
        <v/>
      </c>
      <c r="S544" s="2">
        <f>Financials[[#This Row],[ COGS ]]/Financials[[#This Row],[  Sales ]]</f>
        <v/>
      </c>
      <c r="T544" s="3">
        <f>Financials[[#This Row],[ Discounts ]]/Financials[[#This Row],[  Sales ]]</f>
        <v/>
      </c>
      <c r="U544">
        <f>Financials[[#This Row],[  Sales ]]/Financials[[#This Row],[ Units_Sold ]]</f>
        <v/>
      </c>
      <c r="V544">
        <f>Financials[[#This Row],[ Profit ]]/Financials[[#This Row],[ Units_Sold ]]</f>
        <v/>
      </c>
      <c r="W544">
        <f>IF(Financials[[#This Row],[ Profit ]]&lt;0,1,0)</f>
        <v/>
      </c>
    </row>
    <row r="545">
      <c r="A545" t="inlineStr">
        <is>
          <t>Enterprise</t>
        </is>
      </c>
      <c r="B545" t="inlineStr">
        <is>
          <t>Mexico</t>
        </is>
      </c>
      <c r="C545" t="inlineStr">
        <is>
          <t xml:space="preserve"> Paseo </t>
        </is>
      </c>
      <c r="D545" t="inlineStr">
        <is>
          <t xml:space="preserve"> High </t>
        </is>
      </c>
      <c r="E545" t="n">
        <v>2156</v>
      </c>
      <c r="F545" s="69" t="n">
        <v>10</v>
      </c>
      <c r="G545" s="69" t="n">
        <v>125</v>
      </c>
      <c r="H545" s="69" t="n">
        <v>269500</v>
      </c>
      <c r="I545" s="5" t="n">
        <v>32340</v>
      </c>
      <c r="J545" s="69" t="n">
        <v>237160</v>
      </c>
      <c r="K545" s="69" t="n">
        <v>258720</v>
      </c>
      <c r="L545" s="69" t="n">
        <v>-21560</v>
      </c>
      <c r="M545" s="1" t="n">
        <v>41649</v>
      </c>
      <c r="N545" t="n">
        <v>10</v>
      </c>
      <c r="O545" t="inlineStr">
        <is>
          <t xml:space="preserve"> October </t>
        </is>
      </c>
      <c r="P545" t="n">
        <v>2014</v>
      </c>
      <c r="Q545">
        <f>IF(Financials[[#This Row],[ Units_Sold ]]&lt;&gt;INT(Financials[[#This Row],[ Units_Sold ]]),1,0)</f>
        <v/>
      </c>
      <c r="R545" s="10">
        <f>Financials[[#This Row],[ Profit ]]/Financials[[#This Row],[  Sales ]]</f>
        <v/>
      </c>
      <c r="S545" s="2">
        <f>Financials[[#This Row],[ COGS ]]/Financials[[#This Row],[  Sales ]]</f>
        <v/>
      </c>
      <c r="T545" s="3">
        <f>Financials[[#This Row],[ Discounts ]]/Financials[[#This Row],[  Sales ]]</f>
        <v/>
      </c>
      <c r="U545">
        <f>Financials[[#This Row],[  Sales ]]/Financials[[#This Row],[ Units_Sold ]]</f>
        <v/>
      </c>
      <c r="V545">
        <f>Financials[[#This Row],[ Profit ]]/Financials[[#This Row],[ Units_Sold ]]</f>
        <v/>
      </c>
      <c r="W545">
        <f>IF(Financials[[#This Row],[ Profit ]]&lt;0,1,0)</f>
        <v/>
      </c>
    </row>
    <row r="546">
      <c r="A546" t="inlineStr">
        <is>
          <t>Government</t>
        </is>
      </c>
      <c r="B546" t="inlineStr">
        <is>
          <t>Mexico</t>
        </is>
      </c>
      <c r="C546" t="inlineStr">
        <is>
          <t xml:space="preserve"> Paseo </t>
        </is>
      </c>
      <c r="D546" t="inlineStr">
        <is>
          <t xml:space="preserve"> High </t>
        </is>
      </c>
      <c r="E546" t="n">
        <v>905</v>
      </c>
      <c r="F546" s="69" t="n">
        <v>10</v>
      </c>
      <c r="G546" s="69" t="n">
        <v>20</v>
      </c>
      <c r="H546" s="69" t="n">
        <v>18100</v>
      </c>
      <c r="I546" s="5" t="n">
        <v>2172</v>
      </c>
      <c r="J546" s="69" t="n">
        <v>15928</v>
      </c>
      <c r="K546" s="69" t="n">
        <v>9050</v>
      </c>
      <c r="L546" s="69" t="n">
        <v>6878</v>
      </c>
      <c r="M546" s="1" t="n">
        <v>41649</v>
      </c>
      <c r="N546" t="n">
        <v>10</v>
      </c>
      <c r="O546" t="inlineStr">
        <is>
          <t xml:space="preserve"> October </t>
        </is>
      </c>
      <c r="P546" t="n">
        <v>2014</v>
      </c>
      <c r="Q546">
        <f>IF(Financials[[#This Row],[ Units_Sold ]]&lt;&gt;INT(Financials[[#This Row],[ Units_Sold ]]),1,0)</f>
        <v/>
      </c>
      <c r="R546" s="10">
        <f>Financials[[#This Row],[ Profit ]]/Financials[[#This Row],[  Sales ]]</f>
        <v/>
      </c>
      <c r="S546" s="2">
        <f>Financials[[#This Row],[ COGS ]]/Financials[[#This Row],[  Sales ]]</f>
        <v/>
      </c>
      <c r="T546" s="3">
        <f>Financials[[#This Row],[ Discounts ]]/Financials[[#This Row],[  Sales ]]</f>
        <v/>
      </c>
      <c r="U546">
        <f>Financials[[#This Row],[  Sales ]]/Financials[[#This Row],[ Units_Sold ]]</f>
        <v/>
      </c>
      <c r="V546">
        <f>Financials[[#This Row],[ Profit ]]/Financials[[#This Row],[ Units_Sold ]]</f>
        <v/>
      </c>
      <c r="W546">
        <f>IF(Financials[[#This Row],[ Profit ]]&lt;0,1,0)</f>
        <v/>
      </c>
    </row>
    <row r="547">
      <c r="A547" t="inlineStr">
        <is>
          <t>Government</t>
        </is>
      </c>
      <c r="B547" t="inlineStr">
        <is>
          <t>Mexico</t>
        </is>
      </c>
      <c r="C547" t="inlineStr">
        <is>
          <t xml:space="preserve"> Paseo </t>
        </is>
      </c>
      <c r="D547" t="inlineStr">
        <is>
          <t xml:space="preserve"> High </t>
        </is>
      </c>
      <c r="E547" t="n">
        <v>1715</v>
      </c>
      <c r="F547" s="69" t="n">
        <v>10</v>
      </c>
      <c r="G547" s="69" t="n">
        <v>20</v>
      </c>
      <c r="H547" s="69" t="n">
        <v>34300</v>
      </c>
      <c r="I547" s="5" t="n">
        <v>4116</v>
      </c>
      <c r="J547" s="69" t="n">
        <v>30184</v>
      </c>
      <c r="K547" s="69" t="n">
        <v>17150</v>
      </c>
      <c r="L547" s="69" t="n">
        <v>13034</v>
      </c>
      <c r="M547" s="1" t="n">
        <v>41284</v>
      </c>
      <c r="N547" t="n">
        <v>10</v>
      </c>
      <c r="O547" t="inlineStr">
        <is>
          <t xml:space="preserve"> October </t>
        </is>
      </c>
      <c r="P547" t="n">
        <v>2013</v>
      </c>
      <c r="Q547">
        <f>IF(Financials[[#This Row],[ Units_Sold ]]&lt;&gt;INT(Financials[[#This Row],[ Units_Sold ]]),1,0)</f>
        <v/>
      </c>
      <c r="R547" s="10">
        <f>Financials[[#This Row],[ Profit ]]/Financials[[#This Row],[  Sales ]]</f>
        <v/>
      </c>
      <c r="S547" s="2">
        <f>Financials[[#This Row],[ COGS ]]/Financials[[#This Row],[  Sales ]]</f>
        <v/>
      </c>
      <c r="T547" s="3">
        <f>Financials[[#This Row],[ Discounts ]]/Financials[[#This Row],[  Sales ]]</f>
        <v/>
      </c>
      <c r="U547">
        <f>Financials[[#This Row],[  Sales ]]/Financials[[#This Row],[ Units_Sold ]]</f>
        <v/>
      </c>
      <c r="V547">
        <f>Financials[[#This Row],[ Profit ]]/Financials[[#This Row],[ Units_Sold ]]</f>
        <v/>
      </c>
      <c r="W547">
        <f>IF(Financials[[#This Row],[ Profit ]]&lt;0,1,0)</f>
        <v/>
      </c>
    </row>
    <row r="548">
      <c r="A548" t="inlineStr">
        <is>
          <t>Government</t>
        </is>
      </c>
      <c r="B548" t="inlineStr">
        <is>
          <t>France</t>
        </is>
      </c>
      <c r="C548" t="inlineStr">
        <is>
          <t xml:space="preserve"> Paseo </t>
        </is>
      </c>
      <c r="D548" t="inlineStr">
        <is>
          <t xml:space="preserve"> High </t>
        </is>
      </c>
      <c r="E548" t="n">
        <v>1594</v>
      </c>
      <c r="F548" s="69" t="n">
        <v>10</v>
      </c>
      <c r="G548" s="69" t="n">
        <v>350</v>
      </c>
      <c r="H548" s="69" t="n">
        <v>557900</v>
      </c>
      <c r="I548" s="5" t="n">
        <v>66948</v>
      </c>
      <c r="J548" s="69" t="n">
        <v>490952</v>
      </c>
      <c r="K548" s="69" t="n">
        <v>414440</v>
      </c>
      <c r="L548" s="69" t="n">
        <v>76512</v>
      </c>
      <c r="M548" s="1" t="n">
        <v>41650</v>
      </c>
      <c r="N548" t="n">
        <v>11</v>
      </c>
      <c r="O548" t="inlineStr">
        <is>
          <t xml:space="preserve"> November </t>
        </is>
      </c>
      <c r="P548" t="n">
        <v>2014</v>
      </c>
      <c r="Q548">
        <f>IF(Financials[[#This Row],[ Units_Sold ]]&lt;&gt;INT(Financials[[#This Row],[ Units_Sold ]]),1,0)</f>
        <v/>
      </c>
      <c r="R548" s="10">
        <f>Financials[[#This Row],[ Profit ]]/Financials[[#This Row],[  Sales ]]</f>
        <v/>
      </c>
      <c r="S548" s="2">
        <f>Financials[[#This Row],[ COGS ]]/Financials[[#This Row],[  Sales ]]</f>
        <v/>
      </c>
      <c r="T548" s="3">
        <f>Financials[[#This Row],[ Discounts ]]/Financials[[#This Row],[  Sales ]]</f>
        <v/>
      </c>
      <c r="U548">
        <f>Financials[[#This Row],[  Sales ]]/Financials[[#This Row],[ Units_Sold ]]</f>
        <v/>
      </c>
      <c r="V548">
        <f>Financials[[#This Row],[ Profit ]]/Financials[[#This Row],[ Units_Sold ]]</f>
        <v/>
      </c>
      <c r="W548">
        <f>IF(Financials[[#This Row],[ Profit ]]&lt;0,1,0)</f>
        <v/>
      </c>
    </row>
    <row r="549">
      <c r="A549" t="inlineStr">
        <is>
          <t>Small Business</t>
        </is>
      </c>
      <c r="B549" t="inlineStr">
        <is>
          <t>Germany</t>
        </is>
      </c>
      <c r="C549" t="inlineStr">
        <is>
          <t xml:space="preserve"> Paseo </t>
        </is>
      </c>
      <c r="D549" t="inlineStr">
        <is>
          <t xml:space="preserve"> High </t>
        </is>
      </c>
      <c r="E549" t="n">
        <v>1359</v>
      </c>
      <c r="F549" s="69" t="n">
        <v>10</v>
      </c>
      <c r="G549" s="69" t="n">
        <v>300</v>
      </c>
      <c r="H549" s="69" t="n">
        <v>407700</v>
      </c>
      <c r="I549" s="5" t="n">
        <v>48924</v>
      </c>
      <c r="J549" s="69" t="n">
        <v>358776</v>
      </c>
      <c r="K549" s="69" t="n">
        <v>339750</v>
      </c>
      <c r="L549" s="69" t="n">
        <v>19026</v>
      </c>
      <c r="M549" s="1" t="n">
        <v>41650</v>
      </c>
      <c r="N549" t="n">
        <v>11</v>
      </c>
      <c r="O549" t="inlineStr">
        <is>
          <t xml:space="preserve"> November </t>
        </is>
      </c>
      <c r="P549" t="n">
        <v>2014</v>
      </c>
      <c r="Q549">
        <f>IF(Financials[[#This Row],[ Units_Sold ]]&lt;&gt;INT(Financials[[#This Row],[ Units_Sold ]]),1,0)</f>
        <v/>
      </c>
      <c r="R549" s="10">
        <f>Financials[[#This Row],[ Profit ]]/Financials[[#This Row],[  Sales ]]</f>
        <v/>
      </c>
      <c r="S549" s="2">
        <f>Financials[[#This Row],[ COGS ]]/Financials[[#This Row],[  Sales ]]</f>
        <v/>
      </c>
      <c r="T549" s="3">
        <f>Financials[[#This Row],[ Discounts ]]/Financials[[#This Row],[  Sales ]]</f>
        <v/>
      </c>
      <c r="U549">
        <f>Financials[[#This Row],[  Sales ]]/Financials[[#This Row],[ Units_Sold ]]</f>
        <v/>
      </c>
      <c r="V549">
        <f>Financials[[#This Row],[ Profit ]]/Financials[[#This Row],[ Units_Sold ]]</f>
        <v/>
      </c>
      <c r="W549">
        <f>IF(Financials[[#This Row],[ Profit ]]&lt;0,1,0)</f>
        <v/>
      </c>
    </row>
    <row r="550">
      <c r="A550" t="inlineStr">
        <is>
          <t>Small Business</t>
        </is>
      </c>
      <c r="B550" t="inlineStr">
        <is>
          <t>Mexico</t>
        </is>
      </c>
      <c r="C550" t="inlineStr">
        <is>
          <t xml:space="preserve"> Paseo </t>
        </is>
      </c>
      <c r="D550" t="inlineStr">
        <is>
          <t xml:space="preserve"> High </t>
        </is>
      </c>
      <c r="E550" t="n">
        <v>2150</v>
      </c>
      <c r="F550" s="69" t="n">
        <v>10</v>
      </c>
      <c r="G550" s="69" t="n">
        <v>300</v>
      </c>
      <c r="H550" s="69" t="n">
        <v>645000</v>
      </c>
      <c r="I550" s="5" t="n">
        <v>77400</v>
      </c>
      <c r="J550" s="69" t="n">
        <v>567600</v>
      </c>
      <c r="K550" s="69" t="n">
        <v>537500</v>
      </c>
      <c r="L550" s="69" t="n">
        <v>30100</v>
      </c>
      <c r="M550" s="1" t="n">
        <v>41650</v>
      </c>
      <c r="N550" t="n">
        <v>11</v>
      </c>
      <c r="O550" t="inlineStr">
        <is>
          <t xml:space="preserve"> November </t>
        </is>
      </c>
      <c r="P550" t="n">
        <v>2014</v>
      </c>
      <c r="Q550">
        <f>IF(Financials[[#This Row],[ Units_Sold ]]&lt;&gt;INT(Financials[[#This Row],[ Units_Sold ]]),1,0)</f>
        <v/>
      </c>
      <c r="R550" s="10">
        <f>Financials[[#This Row],[ Profit ]]/Financials[[#This Row],[  Sales ]]</f>
        <v/>
      </c>
      <c r="S550" s="2">
        <f>Financials[[#This Row],[ COGS ]]/Financials[[#This Row],[  Sales ]]</f>
        <v/>
      </c>
      <c r="T550" s="3">
        <f>Financials[[#This Row],[ Discounts ]]/Financials[[#This Row],[  Sales ]]</f>
        <v/>
      </c>
      <c r="U550">
        <f>Financials[[#This Row],[  Sales ]]/Financials[[#This Row],[ Units_Sold ]]</f>
        <v/>
      </c>
      <c r="V550">
        <f>Financials[[#This Row],[ Profit ]]/Financials[[#This Row],[ Units_Sold ]]</f>
        <v/>
      </c>
      <c r="W550">
        <f>IF(Financials[[#This Row],[ Profit ]]&lt;0,1,0)</f>
        <v/>
      </c>
    </row>
    <row r="551">
      <c r="A551" t="inlineStr">
        <is>
          <t>Government</t>
        </is>
      </c>
      <c r="B551" t="inlineStr">
        <is>
          <t>Mexico</t>
        </is>
      </c>
      <c r="C551" t="inlineStr">
        <is>
          <t xml:space="preserve"> Paseo </t>
        </is>
      </c>
      <c r="D551" t="inlineStr">
        <is>
          <t xml:space="preserve"> High </t>
        </is>
      </c>
      <c r="E551" t="n">
        <v>1197</v>
      </c>
      <c r="F551" s="69" t="n">
        <v>10</v>
      </c>
      <c r="G551" s="69" t="n">
        <v>350</v>
      </c>
      <c r="H551" s="69" t="n">
        <v>418950</v>
      </c>
      <c r="I551" s="5" t="n">
        <v>50274</v>
      </c>
      <c r="J551" s="69" t="n">
        <v>368676</v>
      </c>
      <c r="K551" s="69" t="n">
        <v>311220</v>
      </c>
      <c r="L551" s="69" t="n">
        <v>57456</v>
      </c>
      <c r="M551" s="1" t="n">
        <v>41650</v>
      </c>
      <c r="N551" t="n">
        <v>11</v>
      </c>
      <c r="O551" t="inlineStr">
        <is>
          <t xml:space="preserve"> November </t>
        </is>
      </c>
      <c r="P551" t="n">
        <v>2014</v>
      </c>
      <c r="Q551">
        <f>IF(Financials[[#This Row],[ Units_Sold ]]&lt;&gt;INT(Financials[[#This Row],[ Units_Sold ]]),1,0)</f>
        <v/>
      </c>
      <c r="R551" s="10">
        <f>Financials[[#This Row],[ Profit ]]/Financials[[#This Row],[  Sales ]]</f>
        <v/>
      </c>
      <c r="S551" s="2">
        <f>Financials[[#This Row],[ COGS ]]/Financials[[#This Row],[  Sales ]]</f>
        <v/>
      </c>
      <c r="T551" s="3">
        <f>Financials[[#This Row],[ Discounts ]]/Financials[[#This Row],[  Sales ]]</f>
        <v/>
      </c>
      <c r="U551">
        <f>Financials[[#This Row],[  Sales ]]/Financials[[#This Row],[ Units_Sold ]]</f>
        <v/>
      </c>
      <c r="V551">
        <f>Financials[[#This Row],[ Profit ]]/Financials[[#This Row],[ Units_Sold ]]</f>
        <v/>
      </c>
      <c r="W551">
        <f>IF(Financials[[#This Row],[ Profit ]]&lt;0,1,0)</f>
        <v/>
      </c>
    </row>
    <row r="552">
      <c r="A552" t="inlineStr">
        <is>
          <t>Midmarket</t>
        </is>
      </c>
      <c r="B552" t="inlineStr">
        <is>
          <t>Mexico</t>
        </is>
      </c>
      <c r="C552" t="inlineStr">
        <is>
          <t xml:space="preserve"> Paseo </t>
        </is>
      </c>
      <c r="D552" t="inlineStr">
        <is>
          <t xml:space="preserve"> High </t>
        </is>
      </c>
      <c r="E552" t="n">
        <v>380</v>
      </c>
      <c r="F552" s="69" t="n">
        <v>10</v>
      </c>
      <c r="G552" s="69" t="n">
        <v>15</v>
      </c>
      <c r="H552" s="69" t="n">
        <v>5700</v>
      </c>
      <c r="I552" s="5" t="n">
        <v>684</v>
      </c>
      <c r="J552" s="69" t="n">
        <v>5016</v>
      </c>
      <c r="K552" s="69" t="n">
        <v>3800</v>
      </c>
      <c r="L552" s="69" t="n">
        <v>1216</v>
      </c>
      <c r="M552" s="1" t="n">
        <v>41286</v>
      </c>
      <c r="N552" t="n">
        <v>12</v>
      </c>
      <c r="O552" t="inlineStr">
        <is>
          <t xml:space="preserve"> December </t>
        </is>
      </c>
      <c r="P552" t="n">
        <v>2013</v>
      </c>
      <c r="Q552">
        <f>IF(Financials[[#This Row],[ Units_Sold ]]&lt;&gt;INT(Financials[[#This Row],[ Units_Sold ]]),1,0)</f>
        <v/>
      </c>
      <c r="R552" s="10">
        <f>Financials[[#This Row],[ Profit ]]/Financials[[#This Row],[  Sales ]]</f>
        <v/>
      </c>
      <c r="S552" s="2">
        <f>Financials[[#This Row],[ COGS ]]/Financials[[#This Row],[  Sales ]]</f>
        <v/>
      </c>
      <c r="T552" s="3">
        <f>Financials[[#This Row],[ Discounts ]]/Financials[[#This Row],[  Sales ]]</f>
        <v/>
      </c>
      <c r="U552">
        <f>Financials[[#This Row],[  Sales ]]/Financials[[#This Row],[ Units_Sold ]]</f>
        <v/>
      </c>
      <c r="V552">
        <f>Financials[[#This Row],[ Profit ]]/Financials[[#This Row],[ Units_Sold ]]</f>
        <v/>
      </c>
      <c r="W552">
        <f>IF(Financials[[#This Row],[ Profit ]]&lt;0,1,0)</f>
        <v/>
      </c>
    </row>
    <row r="553">
      <c r="A553" t="inlineStr">
        <is>
          <t>Government</t>
        </is>
      </c>
      <c r="B553" t="inlineStr">
        <is>
          <t>Mexico</t>
        </is>
      </c>
      <c r="C553" t="inlineStr">
        <is>
          <t xml:space="preserve"> Paseo </t>
        </is>
      </c>
      <c r="D553" t="inlineStr">
        <is>
          <t xml:space="preserve"> High </t>
        </is>
      </c>
      <c r="E553" t="n">
        <v>1233</v>
      </c>
      <c r="F553" s="69" t="n">
        <v>10</v>
      </c>
      <c r="G553" s="69" t="n">
        <v>20</v>
      </c>
      <c r="H553" s="69" t="n">
        <v>24660</v>
      </c>
      <c r="I553" s="5" t="n">
        <v>2959.2</v>
      </c>
      <c r="J553" s="69" t="n">
        <v>21700.8</v>
      </c>
      <c r="K553" s="69" t="n">
        <v>12330</v>
      </c>
      <c r="L553" s="69" t="n">
        <v>9370.799999999999</v>
      </c>
      <c r="M553" s="1" t="n">
        <v>41651</v>
      </c>
      <c r="N553" t="n">
        <v>12</v>
      </c>
      <c r="O553" t="inlineStr">
        <is>
          <t xml:space="preserve"> December </t>
        </is>
      </c>
      <c r="P553" t="n">
        <v>2014</v>
      </c>
      <c r="Q553">
        <f>IF(Financials[[#This Row],[ Units_Sold ]]&lt;&gt;INT(Financials[[#This Row],[ Units_Sold ]]),1,0)</f>
        <v/>
      </c>
      <c r="R553" s="10">
        <f>Financials[[#This Row],[ Profit ]]/Financials[[#This Row],[  Sales ]]</f>
        <v/>
      </c>
      <c r="S553" s="2">
        <f>Financials[[#This Row],[ COGS ]]/Financials[[#This Row],[  Sales ]]</f>
        <v/>
      </c>
      <c r="T553" s="3">
        <f>Financials[[#This Row],[ Discounts ]]/Financials[[#This Row],[  Sales ]]</f>
        <v/>
      </c>
      <c r="U553">
        <f>Financials[[#This Row],[  Sales ]]/Financials[[#This Row],[ Units_Sold ]]</f>
        <v/>
      </c>
      <c r="V553">
        <f>Financials[[#This Row],[ Profit ]]/Financials[[#This Row],[ Units_Sold ]]</f>
        <v/>
      </c>
      <c r="W553">
        <f>IF(Financials[[#This Row],[ Profit ]]&lt;0,1,0)</f>
        <v/>
      </c>
    </row>
    <row r="554">
      <c r="A554" t="inlineStr">
        <is>
          <t>Government</t>
        </is>
      </c>
      <c r="B554" t="inlineStr">
        <is>
          <t>Mexico</t>
        </is>
      </c>
      <c r="C554" t="inlineStr">
        <is>
          <t xml:space="preserve"> Velo </t>
        </is>
      </c>
      <c r="D554" t="inlineStr">
        <is>
          <t xml:space="preserve"> High </t>
        </is>
      </c>
      <c r="E554" t="n">
        <v>1395</v>
      </c>
      <c r="F554" s="69" t="n">
        <v>120</v>
      </c>
      <c r="G554" s="69" t="n">
        <v>350</v>
      </c>
      <c r="H554" s="69" t="n">
        <v>488250</v>
      </c>
      <c r="I554" s="5" t="n">
        <v>58590</v>
      </c>
      <c r="J554" s="69" t="n">
        <v>429660</v>
      </c>
      <c r="K554" s="69" t="n">
        <v>362700</v>
      </c>
      <c r="L554" s="69" t="n">
        <v>66960</v>
      </c>
      <c r="M554" s="1" t="n">
        <v>41646</v>
      </c>
      <c r="N554" t="n">
        <v>7</v>
      </c>
      <c r="O554" t="inlineStr">
        <is>
          <t xml:space="preserve"> July </t>
        </is>
      </c>
      <c r="P554" t="n">
        <v>2014</v>
      </c>
      <c r="Q554">
        <f>IF(Financials[[#This Row],[ Units_Sold ]]&lt;&gt;INT(Financials[[#This Row],[ Units_Sold ]]),1,0)</f>
        <v/>
      </c>
      <c r="R554" s="10">
        <f>Financials[[#This Row],[ Profit ]]/Financials[[#This Row],[  Sales ]]</f>
        <v/>
      </c>
      <c r="S554" s="2">
        <f>Financials[[#This Row],[ COGS ]]/Financials[[#This Row],[  Sales ]]</f>
        <v/>
      </c>
      <c r="T554" s="3">
        <f>Financials[[#This Row],[ Discounts ]]/Financials[[#This Row],[  Sales ]]</f>
        <v/>
      </c>
      <c r="U554">
        <f>Financials[[#This Row],[  Sales ]]/Financials[[#This Row],[ Units_Sold ]]</f>
        <v/>
      </c>
      <c r="V554">
        <f>Financials[[#This Row],[ Profit ]]/Financials[[#This Row],[ Units_Sold ]]</f>
        <v/>
      </c>
      <c r="W554">
        <f>IF(Financials[[#This Row],[ Profit ]]&lt;0,1,0)</f>
        <v/>
      </c>
    </row>
    <row r="555">
      <c r="A555" t="inlineStr">
        <is>
          <t>Government</t>
        </is>
      </c>
      <c r="B555" t="inlineStr">
        <is>
          <t>United States of America</t>
        </is>
      </c>
      <c r="C555" t="inlineStr">
        <is>
          <t xml:space="preserve"> Velo </t>
        </is>
      </c>
      <c r="D555" t="inlineStr">
        <is>
          <t xml:space="preserve"> High </t>
        </is>
      </c>
      <c r="E555" t="n">
        <v>986</v>
      </c>
      <c r="F555" s="69" t="n">
        <v>120</v>
      </c>
      <c r="G555" s="69" t="n">
        <v>350</v>
      </c>
      <c r="H555" s="69" t="n">
        <v>345100</v>
      </c>
      <c r="I555" s="5" t="n">
        <v>41412</v>
      </c>
      <c r="J555" s="69" t="n">
        <v>303688</v>
      </c>
      <c r="K555" s="69" t="n">
        <v>256360</v>
      </c>
      <c r="L555" s="69" t="n">
        <v>47328</v>
      </c>
      <c r="M555" s="1" t="n">
        <v>41649</v>
      </c>
      <c r="N555" t="n">
        <v>10</v>
      </c>
      <c r="O555" t="inlineStr">
        <is>
          <t xml:space="preserve"> October </t>
        </is>
      </c>
      <c r="P555" t="n">
        <v>2014</v>
      </c>
      <c r="Q555">
        <f>IF(Financials[[#This Row],[ Units_Sold ]]&lt;&gt;INT(Financials[[#This Row],[ Units_Sold ]]),1,0)</f>
        <v/>
      </c>
      <c r="R555" s="10">
        <f>Financials[[#This Row],[ Profit ]]/Financials[[#This Row],[  Sales ]]</f>
        <v/>
      </c>
      <c r="S555" s="2">
        <f>Financials[[#This Row],[ COGS ]]/Financials[[#This Row],[  Sales ]]</f>
        <v/>
      </c>
      <c r="T555" s="3">
        <f>Financials[[#This Row],[ Discounts ]]/Financials[[#This Row],[  Sales ]]</f>
        <v/>
      </c>
      <c r="U555">
        <f>Financials[[#This Row],[  Sales ]]/Financials[[#This Row],[ Units_Sold ]]</f>
        <v/>
      </c>
      <c r="V555">
        <f>Financials[[#This Row],[ Profit ]]/Financials[[#This Row],[ Units_Sold ]]</f>
        <v/>
      </c>
      <c r="W555">
        <f>IF(Financials[[#This Row],[ Profit ]]&lt;0,1,0)</f>
        <v/>
      </c>
    </row>
    <row r="556">
      <c r="A556" t="inlineStr">
        <is>
          <t>Government</t>
        </is>
      </c>
      <c r="B556" t="inlineStr">
        <is>
          <t>Mexico</t>
        </is>
      </c>
      <c r="C556" t="inlineStr">
        <is>
          <t xml:space="preserve"> Velo </t>
        </is>
      </c>
      <c r="D556" t="inlineStr">
        <is>
          <t xml:space="preserve"> High </t>
        </is>
      </c>
      <c r="E556" t="n">
        <v>905</v>
      </c>
      <c r="F556" s="69" t="n">
        <v>120</v>
      </c>
      <c r="G556" s="69" t="n">
        <v>20</v>
      </c>
      <c r="H556" s="69" t="n">
        <v>18100</v>
      </c>
      <c r="I556" s="5" t="n">
        <v>2172</v>
      </c>
      <c r="J556" s="69" t="n">
        <v>15928</v>
      </c>
      <c r="K556" s="69" t="n">
        <v>9050</v>
      </c>
      <c r="L556" s="69" t="n">
        <v>6878</v>
      </c>
      <c r="M556" s="1" t="n">
        <v>41649</v>
      </c>
      <c r="N556" t="n">
        <v>10</v>
      </c>
      <c r="O556" t="inlineStr">
        <is>
          <t xml:space="preserve"> October </t>
        </is>
      </c>
      <c r="P556" t="n">
        <v>2014</v>
      </c>
      <c r="Q556">
        <f>IF(Financials[[#This Row],[ Units_Sold ]]&lt;&gt;INT(Financials[[#This Row],[ Units_Sold ]]),1,0)</f>
        <v/>
      </c>
      <c r="R556" s="10">
        <f>Financials[[#This Row],[ Profit ]]/Financials[[#This Row],[  Sales ]]</f>
        <v/>
      </c>
      <c r="S556" s="2">
        <f>Financials[[#This Row],[ COGS ]]/Financials[[#This Row],[  Sales ]]</f>
        <v/>
      </c>
      <c r="T556" s="3">
        <f>Financials[[#This Row],[ Discounts ]]/Financials[[#This Row],[  Sales ]]</f>
        <v/>
      </c>
      <c r="U556">
        <f>Financials[[#This Row],[  Sales ]]/Financials[[#This Row],[ Units_Sold ]]</f>
        <v/>
      </c>
      <c r="V556">
        <f>Financials[[#This Row],[ Profit ]]/Financials[[#This Row],[ Units_Sold ]]</f>
        <v/>
      </c>
      <c r="W556">
        <f>IF(Financials[[#This Row],[ Profit ]]&lt;0,1,0)</f>
        <v/>
      </c>
    </row>
    <row r="557">
      <c r="A557" t="inlineStr">
        <is>
          <t>Channel Partners</t>
        </is>
      </c>
      <c r="B557" t="inlineStr">
        <is>
          <t>Canada</t>
        </is>
      </c>
      <c r="C557" t="inlineStr">
        <is>
          <t xml:space="preserve"> VTT </t>
        </is>
      </c>
      <c r="D557" t="inlineStr">
        <is>
          <t xml:space="preserve"> High </t>
        </is>
      </c>
      <c r="E557" t="n">
        <v>2109</v>
      </c>
      <c r="F557" s="69" t="n">
        <v>250</v>
      </c>
      <c r="G557" s="69" t="n">
        <v>12</v>
      </c>
      <c r="H557" s="69" t="n">
        <v>25308</v>
      </c>
      <c r="I557" s="5" t="n">
        <v>3036.96</v>
      </c>
      <c r="J557" s="69" t="n">
        <v>22271.04</v>
      </c>
      <c r="K557" s="69" t="n">
        <v>6327</v>
      </c>
      <c r="L557" s="69" t="n">
        <v>15944.04</v>
      </c>
      <c r="M557" s="1" t="n">
        <v>41644</v>
      </c>
      <c r="N557" t="n">
        <v>5</v>
      </c>
      <c r="O557" t="inlineStr">
        <is>
          <t xml:space="preserve"> May </t>
        </is>
      </c>
      <c r="P557" t="n">
        <v>2014</v>
      </c>
      <c r="Q557">
        <f>IF(Financials[[#This Row],[ Units_Sold ]]&lt;&gt;INT(Financials[[#This Row],[ Units_Sold ]]),1,0)</f>
        <v/>
      </c>
      <c r="R557" s="10">
        <f>Financials[[#This Row],[ Profit ]]/Financials[[#This Row],[  Sales ]]</f>
        <v/>
      </c>
      <c r="S557" s="2">
        <f>Financials[[#This Row],[ COGS ]]/Financials[[#This Row],[  Sales ]]</f>
        <v/>
      </c>
      <c r="T557" s="3">
        <f>Financials[[#This Row],[ Discounts ]]/Financials[[#This Row],[  Sales ]]</f>
        <v/>
      </c>
      <c r="U557">
        <f>Financials[[#This Row],[  Sales ]]/Financials[[#This Row],[ Units_Sold ]]</f>
        <v/>
      </c>
      <c r="V557">
        <f>Financials[[#This Row],[ Profit ]]/Financials[[#This Row],[ Units_Sold ]]</f>
        <v/>
      </c>
      <c r="W557">
        <f>IF(Financials[[#This Row],[ Profit ]]&lt;0,1,0)</f>
        <v/>
      </c>
    </row>
    <row r="558">
      <c r="A558" t="inlineStr">
        <is>
          <t>Midmarket</t>
        </is>
      </c>
      <c r="B558" t="inlineStr">
        <is>
          <t>France</t>
        </is>
      </c>
      <c r="C558" t="inlineStr">
        <is>
          <t xml:space="preserve"> VTT </t>
        </is>
      </c>
      <c r="D558" t="inlineStr">
        <is>
          <t xml:space="preserve"> High </t>
        </is>
      </c>
      <c r="E558" t="n">
        <v>3874.5</v>
      </c>
      <c r="F558" s="69" t="n">
        <v>250</v>
      </c>
      <c r="G558" s="69" t="n">
        <v>15</v>
      </c>
      <c r="H558" s="69" t="n">
        <v>58117.5</v>
      </c>
      <c r="I558" s="5" t="n">
        <v>6974.1</v>
      </c>
      <c r="J558" s="69" t="n">
        <v>51143.4</v>
      </c>
      <c r="K558" s="69" t="n">
        <v>38745</v>
      </c>
      <c r="L558" s="69" t="n">
        <v>12398.4</v>
      </c>
      <c r="M558" s="1" t="n">
        <v>41646</v>
      </c>
      <c r="N558" t="n">
        <v>7</v>
      </c>
      <c r="O558" t="inlineStr">
        <is>
          <t xml:space="preserve"> July </t>
        </is>
      </c>
      <c r="P558" t="n">
        <v>2014</v>
      </c>
      <c r="Q558">
        <f>IF(Financials[[#This Row],[ Units_Sold ]]&lt;&gt;INT(Financials[[#This Row],[ Units_Sold ]]),1,0)</f>
        <v/>
      </c>
      <c r="R558" s="10">
        <f>Financials[[#This Row],[ Profit ]]/Financials[[#This Row],[  Sales ]]</f>
        <v/>
      </c>
      <c r="S558" s="2">
        <f>Financials[[#This Row],[ COGS ]]/Financials[[#This Row],[  Sales ]]</f>
        <v/>
      </c>
      <c r="T558" s="3">
        <f>Financials[[#This Row],[ Discounts ]]/Financials[[#This Row],[  Sales ]]</f>
        <v/>
      </c>
      <c r="U558">
        <f>Financials[[#This Row],[  Sales ]]/Financials[[#This Row],[ Units_Sold ]]</f>
        <v/>
      </c>
      <c r="V558">
        <f>Financials[[#This Row],[ Profit ]]/Financials[[#This Row],[ Units_Sold ]]</f>
        <v/>
      </c>
      <c r="W558">
        <f>IF(Financials[[#This Row],[ Profit ]]&lt;0,1,0)</f>
        <v/>
      </c>
    </row>
    <row r="559">
      <c r="A559" t="inlineStr">
        <is>
          <t>Government</t>
        </is>
      </c>
      <c r="B559" t="inlineStr">
        <is>
          <t>Canada</t>
        </is>
      </c>
      <c r="C559" t="inlineStr">
        <is>
          <t xml:space="preserve"> VTT </t>
        </is>
      </c>
      <c r="D559" t="inlineStr">
        <is>
          <t xml:space="preserve"> High </t>
        </is>
      </c>
      <c r="E559" t="n">
        <v>623</v>
      </c>
      <c r="F559" s="69" t="n">
        <v>250</v>
      </c>
      <c r="G559" s="69" t="n">
        <v>350</v>
      </c>
      <c r="H559" s="69" t="n">
        <v>218050</v>
      </c>
      <c r="I559" s="5" t="n">
        <v>26166</v>
      </c>
      <c r="J559" s="69" t="n">
        <v>191884</v>
      </c>
      <c r="K559" s="69" t="n">
        <v>161980</v>
      </c>
      <c r="L559" s="69" t="n">
        <v>29904</v>
      </c>
      <c r="M559" s="1" t="n">
        <v>41283</v>
      </c>
      <c r="N559" t="n">
        <v>9</v>
      </c>
      <c r="O559" t="inlineStr">
        <is>
          <t xml:space="preserve"> September </t>
        </is>
      </c>
      <c r="P559" t="n">
        <v>2013</v>
      </c>
      <c r="Q559">
        <f>IF(Financials[[#This Row],[ Units_Sold ]]&lt;&gt;INT(Financials[[#This Row],[ Units_Sold ]]),1,0)</f>
        <v/>
      </c>
      <c r="R559" s="10">
        <f>Financials[[#This Row],[ Profit ]]/Financials[[#This Row],[  Sales ]]</f>
        <v/>
      </c>
      <c r="S559" s="2">
        <f>Financials[[#This Row],[ COGS ]]/Financials[[#This Row],[  Sales ]]</f>
        <v/>
      </c>
      <c r="T559" s="3">
        <f>Financials[[#This Row],[ Discounts ]]/Financials[[#This Row],[  Sales ]]</f>
        <v/>
      </c>
      <c r="U559">
        <f>Financials[[#This Row],[  Sales ]]/Financials[[#This Row],[ Units_Sold ]]</f>
        <v/>
      </c>
      <c r="V559">
        <f>Financials[[#This Row],[ Profit ]]/Financials[[#This Row],[ Units_Sold ]]</f>
        <v/>
      </c>
      <c r="W559">
        <f>IF(Financials[[#This Row],[ Profit ]]&lt;0,1,0)</f>
        <v/>
      </c>
    </row>
    <row r="560">
      <c r="A560" t="inlineStr">
        <is>
          <t>Government</t>
        </is>
      </c>
      <c r="B560" t="inlineStr">
        <is>
          <t>United States of America</t>
        </is>
      </c>
      <c r="C560" t="inlineStr">
        <is>
          <t xml:space="preserve"> VTT </t>
        </is>
      </c>
      <c r="D560" t="inlineStr">
        <is>
          <t xml:space="preserve"> High </t>
        </is>
      </c>
      <c r="E560" t="n">
        <v>986</v>
      </c>
      <c r="F560" s="69" t="n">
        <v>250</v>
      </c>
      <c r="G560" s="69" t="n">
        <v>350</v>
      </c>
      <c r="H560" s="69" t="n">
        <v>345100</v>
      </c>
      <c r="I560" s="5" t="n">
        <v>41412</v>
      </c>
      <c r="J560" s="69" t="n">
        <v>303688</v>
      </c>
      <c r="K560" s="69" t="n">
        <v>256360</v>
      </c>
      <c r="L560" s="69" t="n">
        <v>47328</v>
      </c>
      <c r="M560" s="1" t="n">
        <v>41649</v>
      </c>
      <c r="N560" t="n">
        <v>10</v>
      </c>
      <c r="O560" t="inlineStr">
        <is>
          <t xml:space="preserve"> October </t>
        </is>
      </c>
      <c r="P560" t="n">
        <v>2014</v>
      </c>
      <c r="Q560">
        <f>IF(Financials[[#This Row],[ Units_Sold ]]&lt;&gt;INT(Financials[[#This Row],[ Units_Sold ]]),1,0)</f>
        <v/>
      </c>
      <c r="R560" s="10">
        <f>Financials[[#This Row],[ Profit ]]/Financials[[#This Row],[  Sales ]]</f>
        <v/>
      </c>
      <c r="S560" s="2">
        <f>Financials[[#This Row],[ COGS ]]/Financials[[#This Row],[  Sales ]]</f>
        <v/>
      </c>
      <c r="T560" s="3">
        <f>Financials[[#This Row],[ Discounts ]]/Financials[[#This Row],[  Sales ]]</f>
        <v/>
      </c>
      <c r="U560">
        <f>Financials[[#This Row],[  Sales ]]/Financials[[#This Row],[ Units_Sold ]]</f>
        <v/>
      </c>
      <c r="V560">
        <f>Financials[[#This Row],[ Profit ]]/Financials[[#This Row],[ Units_Sold ]]</f>
        <v/>
      </c>
      <c r="W560">
        <f>IF(Financials[[#This Row],[ Profit ]]&lt;0,1,0)</f>
        <v/>
      </c>
    </row>
    <row r="561">
      <c r="A561" t="inlineStr">
        <is>
          <t>Enterprise</t>
        </is>
      </c>
      <c r="B561" t="inlineStr">
        <is>
          <t>United States of America</t>
        </is>
      </c>
      <c r="C561" t="inlineStr">
        <is>
          <t xml:space="preserve"> VTT </t>
        </is>
      </c>
      <c r="D561" t="inlineStr">
        <is>
          <t xml:space="preserve"> High </t>
        </is>
      </c>
      <c r="E561" t="n">
        <v>2387</v>
      </c>
      <c r="F561" s="69" t="n">
        <v>250</v>
      </c>
      <c r="G561" s="69" t="n">
        <v>125</v>
      </c>
      <c r="H561" s="69" t="n">
        <v>298375</v>
      </c>
      <c r="I561" s="5" t="n">
        <v>35805</v>
      </c>
      <c r="J561" s="69" t="n">
        <v>262570</v>
      </c>
      <c r="K561" s="69" t="n">
        <v>286440</v>
      </c>
      <c r="L561" s="69" t="n">
        <v>-23870</v>
      </c>
      <c r="M561" s="1" t="n">
        <v>41650</v>
      </c>
      <c r="N561" t="n">
        <v>11</v>
      </c>
      <c r="O561" t="inlineStr">
        <is>
          <t xml:space="preserve"> November </t>
        </is>
      </c>
      <c r="P561" t="n">
        <v>2014</v>
      </c>
      <c r="Q561">
        <f>IF(Financials[[#This Row],[ Units_Sold ]]&lt;&gt;INT(Financials[[#This Row],[ Units_Sold ]]),1,0)</f>
        <v/>
      </c>
      <c r="R561" s="10">
        <f>Financials[[#This Row],[ Profit ]]/Financials[[#This Row],[  Sales ]]</f>
        <v/>
      </c>
      <c r="S561" s="2">
        <f>Financials[[#This Row],[ COGS ]]/Financials[[#This Row],[  Sales ]]</f>
        <v/>
      </c>
      <c r="T561" s="3">
        <f>Financials[[#This Row],[ Discounts ]]/Financials[[#This Row],[  Sales ]]</f>
        <v/>
      </c>
      <c r="U561">
        <f>Financials[[#This Row],[  Sales ]]/Financials[[#This Row],[ Units_Sold ]]</f>
        <v/>
      </c>
      <c r="V561">
        <f>Financials[[#This Row],[ Profit ]]/Financials[[#This Row],[ Units_Sold ]]</f>
        <v/>
      </c>
      <c r="W561">
        <f>IF(Financials[[#This Row],[ Profit ]]&lt;0,1,0)</f>
        <v/>
      </c>
    </row>
    <row r="562">
      <c r="A562" t="inlineStr">
        <is>
          <t>Government</t>
        </is>
      </c>
      <c r="B562" t="inlineStr">
        <is>
          <t>Mexico</t>
        </is>
      </c>
      <c r="C562" t="inlineStr">
        <is>
          <t xml:space="preserve"> VTT </t>
        </is>
      </c>
      <c r="D562" t="inlineStr">
        <is>
          <t xml:space="preserve"> High </t>
        </is>
      </c>
      <c r="E562" t="n">
        <v>1233</v>
      </c>
      <c r="F562" s="69" t="n">
        <v>250</v>
      </c>
      <c r="G562" s="69" t="n">
        <v>20</v>
      </c>
      <c r="H562" s="69" t="n">
        <v>24660</v>
      </c>
      <c r="I562" s="5" t="n">
        <v>2959.2</v>
      </c>
      <c r="J562" s="69" t="n">
        <v>21700.8</v>
      </c>
      <c r="K562" s="69" t="n">
        <v>12330</v>
      </c>
      <c r="L562" s="69" t="n">
        <v>9370.799999999999</v>
      </c>
      <c r="M562" s="1" t="n">
        <v>41651</v>
      </c>
      <c r="N562" t="n">
        <v>12</v>
      </c>
      <c r="O562" t="inlineStr">
        <is>
          <t xml:space="preserve"> December </t>
        </is>
      </c>
      <c r="P562" t="n">
        <v>2014</v>
      </c>
      <c r="Q562">
        <f>IF(Financials[[#This Row],[ Units_Sold ]]&lt;&gt;INT(Financials[[#This Row],[ Units_Sold ]]),1,0)</f>
        <v/>
      </c>
      <c r="R562" s="10">
        <f>Financials[[#This Row],[ Profit ]]/Financials[[#This Row],[  Sales ]]</f>
        <v/>
      </c>
      <c r="S562" s="2">
        <f>Financials[[#This Row],[ COGS ]]/Financials[[#This Row],[  Sales ]]</f>
        <v/>
      </c>
      <c r="T562" s="3">
        <f>Financials[[#This Row],[ Discounts ]]/Financials[[#This Row],[  Sales ]]</f>
        <v/>
      </c>
      <c r="U562">
        <f>Financials[[#This Row],[  Sales ]]/Financials[[#This Row],[ Units_Sold ]]</f>
        <v/>
      </c>
      <c r="V562">
        <f>Financials[[#This Row],[ Profit ]]/Financials[[#This Row],[ Units_Sold ]]</f>
        <v/>
      </c>
      <c r="W562">
        <f>IF(Financials[[#This Row],[ Profit ]]&lt;0,1,0)</f>
        <v/>
      </c>
    </row>
    <row r="563">
      <c r="A563" t="inlineStr">
        <is>
          <t>Government</t>
        </is>
      </c>
      <c r="B563" t="inlineStr">
        <is>
          <t>United States of America</t>
        </is>
      </c>
      <c r="C563" t="inlineStr">
        <is>
          <t xml:space="preserve"> Amarilla </t>
        </is>
      </c>
      <c r="D563" t="inlineStr">
        <is>
          <t xml:space="preserve"> High </t>
        </is>
      </c>
      <c r="E563" t="n">
        <v>270</v>
      </c>
      <c r="F563" s="69" t="n">
        <v>260</v>
      </c>
      <c r="G563" s="69" t="n">
        <v>350</v>
      </c>
      <c r="H563" s="69" t="n">
        <v>94500</v>
      </c>
      <c r="I563" s="5" t="n">
        <v>11340</v>
      </c>
      <c r="J563" s="69" t="n">
        <v>83160</v>
      </c>
      <c r="K563" s="69" t="n">
        <v>70200</v>
      </c>
      <c r="L563" s="69" t="n">
        <v>12960</v>
      </c>
      <c r="M563" s="1" t="n">
        <v>41641</v>
      </c>
      <c r="N563" t="n">
        <v>2</v>
      </c>
      <c r="O563" t="inlineStr">
        <is>
          <t xml:space="preserve"> February </t>
        </is>
      </c>
      <c r="P563" t="n">
        <v>2014</v>
      </c>
      <c r="Q563">
        <f>IF(Financials[[#This Row],[ Units_Sold ]]&lt;&gt;INT(Financials[[#This Row],[ Units_Sold ]]),1,0)</f>
        <v/>
      </c>
      <c r="R563" s="10">
        <f>Financials[[#This Row],[ Profit ]]/Financials[[#This Row],[  Sales ]]</f>
        <v/>
      </c>
      <c r="S563" s="2">
        <f>Financials[[#This Row],[ COGS ]]/Financials[[#This Row],[  Sales ]]</f>
        <v/>
      </c>
      <c r="T563" s="3">
        <f>Financials[[#This Row],[ Discounts ]]/Financials[[#This Row],[  Sales ]]</f>
        <v/>
      </c>
      <c r="U563">
        <f>Financials[[#This Row],[  Sales ]]/Financials[[#This Row],[ Units_Sold ]]</f>
        <v/>
      </c>
      <c r="V563">
        <f>Financials[[#This Row],[ Profit ]]/Financials[[#This Row],[ Units_Sold ]]</f>
        <v/>
      </c>
      <c r="W563">
        <f>IF(Financials[[#This Row],[ Profit ]]&lt;0,1,0)</f>
        <v/>
      </c>
    </row>
    <row r="564">
      <c r="A564" t="inlineStr">
        <is>
          <t>Government</t>
        </is>
      </c>
      <c r="B564" t="inlineStr">
        <is>
          <t>France</t>
        </is>
      </c>
      <c r="C564" t="inlineStr">
        <is>
          <t xml:space="preserve"> Amarilla </t>
        </is>
      </c>
      <c r="D564" t="inlineStr">
        <is>
          <t xml:space="preserve"> High </t>
        </is>
      </c>
      <c r="E564" t="n">
        <v>3421.5</v>
      </c>
      <c r="F564" s="69" t="n">
        <v>260</v>
      </c>
      <c r="G564" s="69" t="n">
        <v>7</v>
      </c>
      <c r="H564" s="69" t="n">
        <v>23950.5</v>
      </c>
      <c r="I564" s="5" t="n">
        <v>2874.06</v>
      </c>
      <c r="J564" s="69" t="n">
        <v>21076.44</v>
      </c>
      <c r="K564" s="69" t="n">
        <v>17107.5</v>
      </c>
      <c r="L564" s="69" t="n">
        <v>3968.94</v>
      </c>
      <c r="M564" s="1" t="n">
        <v>41646</v>
      </c>
      <c r="N564" t="n">
        <v>7</v>
      </c>
      <c r="O564" t="inlineStr">
        <is>
          <t xml:space="preserve"> July </t>
        </is>
      </c>
      <c r="P564" t="n">
        <v>2014</v>
      </c>
      <c r="Q564">
        <f>IF(Financials[[#This Row],[ Units_Sold ]]&lt;&gt;INT(Financials[[#This Row],[ Units_Sold ]]),1,0)</f>
        <v/>
      </c>
      <c r="R564" s="10">
        <f>Financials[[#This Row],[ Profit ]]/Financials[[#This Row],[  Sales ]]</f>
        <v/>
      </c>
      <c r="S564" s="2">
        <f>Financials[[#This Row],[ COGS ]]/Financials[[#This Row],[  Sales ]]</f>
        <v/>
      </c>
      <c r="T564" s="3">
        <f>Financials[[#This Row],[ Discounts ]]/Financials[[#This Row],[  Sales ]]</f>
        <v/>
      </c>
      <c r="U564">
        <f>Financials[[#This Row],[  Sales ]]/Financials[[#This Row],[ Units_Sold ]]</f>
        <v/>
      </c>
      <c r="V564">
        <f>Financials[[#This Row],[ Profit ]]/Financials[[#This Row],[ Units_Sold ]]</f>
        <v/>
      </c>
      <c r="W564">
        <f>IF(Financials[[#This Row],[ Profit ]]&lt;0,1,0)</f>
        <v/>
      </c>
    </row>
    <row r="565">
      <c r="A565" t="inlineStr">
        <is>
          <t>Government</t>
        </is>
      </c>
      <c r="B565" t="inlineStr">
        <is>
          <t>Canada</t>
        </is>
      </c>
      <c r="C565" t="inlineStr">
        <is>
          <t xml:space="preserve"> Amarilla </t>
        </is>
      </c>
      <c r="D565" t="inlineStr">
        <is>
          <t xml:space="preserve"> High </t>
        </is>
      </c>
      <c r="E565" t="n">
        <v>2734</v>
      </c>
      <c r="F565" s="69" t="n">
        <v>260</v>
      </c>
      <c r="G565" s="69" t="n">
        <v>7</v>
      </c>
      <c r="H565" s="69" t="n">
        <v>19138</v>
      </c>
      <c r="I565" s="5" t="n">
        <v>2296.56</v>
      </c>
      <c r="J565" s="69" t="n">
        <v>16841.44</v>
      </c>
      <c r="K565" s="69" t="n">
        <v>13670</v>
      </c>
      <c r="L565" s="69" t="n">
        <v>3171.44</v>
      </c>
      <c r="M565" s="1" t="n">
        <v>41649</v>
      </c>
      <c r="N565" t="n">
        <v>10</v>
      </c>
      <c r="O565" t="inlineStr">
        <is>
          <t xml:space="preserve"> October </t>
        </is>
      </c>
      <c r="P565" t="n">
        <v>2014</v>
      </c>
      <c r="Q565">
        <f>IF(Financials[[#This Row],[ Units_Sold ]]&lt;&gt;INT(Financials[[#This Row],[ Units_Sold ]]),1,0)</f>
        <v/>
      </c>
      <c r="R565" s="10">
        <f>Financials[[#This Row],[ Profit ]]/Financials[[#This Row],[  Sales ]]</f>
        <v/>
      </c>
      <c r="S565" s="2">
        <f>Financials[[#This Row],[ COGS ]]/Financials[[#This Row],[  Sales ]]</f>
        <v/>
      </c>
      <c r="T565" s="3">
        <f>Financials[[#This Row],[ Discounts ]]/Financials[[#This Row],[  Sales ]]</f>
        <v/>
      </c>
      <c r="U565">
        <f>Financials[[#This Row],[  Sales ]]/Financials[[#This Row],[ Units_Sold ]]</f>
        <v/>
      </c>
      <c r="V565">
        <f>Financials[[#This Row],[ Profit ]]/Financials[[#This Row],[ Units_Sold ]]</f>
        <v/>
      </c>
      <c r="W565">
        <f>IF(Financials[[#This Row],[ Profit ]]&lt;0,1,0)</f>
        <v/>
      </c>
    </row>
    <row r="566">
      <c r="A566" t="inlineStr">
        <is>
          <t>Midmarket</t>
        </is>
      </c>
      <c r="B566" t="inlineStr">
        <is>
          <t>United States of America</t>
        </is>
      </c>
      <c r="C566" t="inlineStr">
        <is>
          <t xml:space="preserve"> Amarilla </t>
        </is>
      </c>
      <c r="D566" t="inlineStr">
        <is>
          <t xml:space="preserve"> High </t>
        </is>
      </c>
      <c r="E566" t="n">
        <v>2548</v>
      </c>
      <c r="F566" s="69" t="n">
        <v>260</v>
      </c>
      <c r="G566" s="69" t="n">
        <v>15</v>
      </c>
      <c r="H566" s="69" t="n">
        <v>38220</v>
      </c>
      <c r="I566" s="5" t="n">
        <v>4586.4</v>
      </c>
      <c r="J566" s="69" t="n">
        <v>33633.6</v>
      </c>
      <c r="K566" s="69" t="n">
        <v>25480</v>
      </c>
      <c r="L566" s="69" t="n">
        <v>8153.6</v>
      </c>
      <c r="M566" s="1" t="n">
        <v>41285</v>
      </c>
      <c r="N566" t="n">
        <v>11</v>
      </c>
      <c r="O566" t="inlineStr">
        <is>
          <t xml:space="preserve"> November </t>
        </is>
      </c>
      <c r="P566" t="n">
        <v>2013</v>
      </c>
      <c r="Q566">
        <f>IF(Financials[[#This Row],[ Units_Sold ]]&lt;&gt;INT(Financials[[#This Row],[ Units_Sold ]]),1,0)</f>
        <v/>
      </c>
      <c r="R566" s="10">
        <f>Financials[[#This Row],[ Profit ]]/Financials[[#This Row],[  Sales ]]</f>
        <v/>
      </c>
      <c r="S566" s="2">
        <f>Financials[[#This Row],[ COGS ]]/Financials[[#This Row],[  Sales ]]</f>
        <v/>
      </c>
      <c r="T566" s="3">
        <f>Financials[[#This Row],[ Discounts ]]/Financials[[#This Row],[  Sales ]]</f>
        <v/>
      </c>
      <c r="U566">
        <f>Financials[[#This Row],[  Sales ]]/Financials[[#This Row],[ Units_Sold ]]</f>
        <v/>
      </c>
      <c r="V566">
        <f>Financials[[#This Row],[ Profit ]]/Financials[[#This Row],[ Units_Sold ]]</f>
        <v/>
      </c>
      <c r="W566">
        <f>IF(Financials[[#This Row],[ Profit ]]&lt;0,1,0)</f>
        <v/>
      </c>
    </row>
    <row r="567">
      <c r="A567" t="inlineStr">
        <is>
          <t>Government</t>
        </is>
      </c>
      <c r="B567" t="inlineStr">
        <is>
          <t>France</t>
        </is>
      </c>
      <c r="C567" t="inlineStr">
        <is>
          <t xml:space="preserve"> Carretera </t>
        </is>
      </c>
      <c r="D567" t="inlineStr">
        <is>
          <t xml:space="preserve"> High </t>
        </is>
      </c>
      <c r="E567" t="n">
        <v>2521.5</v>
      </c>
      <c r="F567" s="69" t="n">
        <v>3</v>
      </c>
      <c r="G567" s="69" t="n">
        <v>20</v>
      </c>
      <c r="H567" s="69" t="n">
        <v>50430</v>
      </c>
      <c r="I567" s="5" t="n">
        <v>6051.6</v>
      </c>
      <c r="J567" s="69" t="n">
        <v>44378.4</v>
      </c>
      <c r="K567" s="69" t="n">
        <v>25215</v>
      </c>
      <c r="L567" s="69" t="n">
        <v>19163.4</v>
      </c>
      <c r="M567" s="1" t="n">
        <v>41640</v>
      </c>
      <c r="N567" t="n">
        <v>1</v>
      </c>
      <c r="O567" t="inlineStr">
        <is>
          <t xml:space="preserve"> January </t>
        </is>
      </c>
      <c r="P567" t="n">
        <v>2014</v>
      </c>
      <c r="Q567">
        <f>IF(Financials[[#This Row],[ Units_Sold ]]&lt;&gt;INT(Financials[[#This Row],[ Units_Sold ]]),1,0)</f>
        <v/>
      </c>
      <c r="R567" s="10">
        <f>Financials[[#This Row],[ Profit ]]/Financials[[#This Row],[  Sales ]]</f>
        <v/>
      </c>
      <c r="S567" s="2">
        <f>Financials[[#This Row],[ COGS ]]/Financials[[#This Row],[  Sales ]]</f>
        <v/>
      </c>
      <c r="T567" s="3">
        <f>Financials[[#This Row],[ Discounts ]]/Financials[[#This Row],[  Sales ]]</f>
        <v/>
      </c>
      <c r="U567">
        <f>Financials[[#This Row],[  Sales ]]/Financials[[#This Row],[ Units_Sold ]]</f>
        <v/>
      </c>
      <c r="V567">
        <f>Financials[[#This Row],[ Profit ]]/Financials[[#This Row],[ Units_Sold ]]</f>
        <v/>
      </c>
      <c r="W567">
        <f>IF(Financials[[#This Row],[ Profit ]]&lt;0,1,0)</f>
        <v/>
      </c>
    </row>
    <row r="568">
      <c r="A568" t="inlineStr">
        <is>
          <t>Channel Partners</t>
        </is>
      </c>
      <c r="B568" t="inlineStr">
        <is>
          <t>Mexico</t>
        </is>
      </c>
      <c r="C568" t="inlineStr">
        <is>
          <t xml:space="preserve"> Montana </t>
        </is>
      </c>
      <c r="D568" t="inlineStr">
        <is>
          <t xml:space="preserve"> High </t>
        </is>
      </c>
      <c r="E568" t="n">
        <v>2661</v>
      </c>
      <c r="F568" s="69" t="n">
        <v>5</v>
      </c>
      <c r="G568" s="69" t="n">
        <v>12</v>
      </c>
      <c r="H568" s="69" t="n">
        <v>31932</v>
      </c>
      <c r="I568" s="5" t="n">
        <v>3831.84</v>
      </c>
      <c r="J568" s="69" t="n">
        <v>28100.16</v>
      </c>
      <c r="K568" s="69" t="n">
        <v>7983</v>
      </c>
      <c r="L568" s="69" t="n">
        <v>20117.16</v>
      </c>
      <c r="M568" s="1" t="n">
        <v>41644</v>
      </c>
      <c r="N568" t="n">
        <v>5</v>
      </c>
      <c r="O568" t="inlineStr">
        <is>
          <t xml:space="preserve"> May </t>
        </is>
      </c>
      <c r="P568" t="n">
        <v>2014</v>
      </c>
      <c r="Q568">
        <f>IF(Financials[[#This Row],[ Units_Sold ]]&lt;&gt;INT(Financials[[#This Row],[ Units_Sold ]]),1,0)</f>
        <v/>
      </c>
      <c r="R568" s="10">
        <f>Financials[[#This Row],[ Profit ]]/Financials[[#This Row],[  Sales ]]</f>
        <v/>
      </c>
      <c r="S568" s="2">
        <f>Financials[[#This Row],[ COGS ]]/Financials[[#This Row],[  Sales ]]</f>
        <v/>
      </c>
      <c r="T568" s="3">
        <f>Financials[[#This Row],[ Discounts ]]/Financials[[#This Row],[  Sales ]]</f>
        <v/>
      </c>
      <c r="U568">
        <f>Financials[[#This Row],[  Sales ]]/Financials[[#This Row],[ Units_Sold ]]</f>
        <v/>
      </c>
      <c r="V568">
        <f>Financials[[#This Row],[ Profit ]]/Financials[[#This Row],[ Units_Sold ]]</f>
        <v/>
      </c>
      <c r="W568">
        <f>IF(Financials[[#This Row],[ Profit ]]&lt;0,1,0)</f>
        <v/>
      </c>
    </row>
    <row r="569">
      <c r="A569" t="inlineStr">
        <is>
          <t>Government</t>
        </is>
      </c>
      <c r="B569" t="inlineStr">
        <is>
          <t>Germany</t>
        </is>
      </c>
      <c r="C569" t="inlineStr">
        <is>
          <t xml:space="preserve"> Paseo </t>
        </is>
      </c>
      <c r="D569" t="inlineStr">
        <is>
          <t xml:space="preserve"> High </t>
        </is>
      </c>
      <c r="E569" t="n">
        <v>1531</v>
      </c>
      <c r="F569" s="69" t="n">
        <v>10</v>
      </c>
      <c r="G569" s="69" t="n">
        <v>20</v>
      </c>
      <c r="H569" s="69" t="n">
        <v>30620</v>
      </c>
      <c r="I569" s="5" t="n">
        <v>3674.4</v>
      </c>
      <c r="J569" s="69" t="n">
        <v>26945.6</v>
      </c>
      <c r="K569" s="69" t="n">
        <v>15310</v>
      </c>
      <c r="L569" s="69" t="n">
        <v>11635.6</v>
      </c>
      <c r="M569" s="1" t="n">
        <v>41651</v>
      </c>
      <c r="N569" t="n">
        <v>12</v>
      </c>
      <c r="O569" t="inlineStr">
        <is>
          <t xml:space="preserve"> December </t>
        </is>
      </c>
      <c r="P569" t="n">
        <v>2014</v>
      </c>
      <c r="Q569">
        <f>IF(Financials[[#This Row],[ Units_Sold ]]&lt;&gt;INT(Financials[[#This Row],[ Units_Sold ]]),1,0)</f>
        <v/>
      </c>
      <c r="R569" s="10">
        <f>Financials[[#This Row],[ Profit ]]/Financials[[#This Row],[  Sales ]]</f>
        <v/>
      </c>
      <c r="S569" s="2">
        <f>Financials[[#This Row],[ COGS ]]/Financials[[#This Row],[  Sales ]]</f>
        <v/>
      </c>
      <c r="T569" s="3">
        <f>Financials[[#This Row],[ Discounts ]]/Financials[[#This Row],[  Sales ]]</f>
        <v/>
      </c>
      <c r="U569">
        <f>Financials[[#This Row],[  Sales ]]/Financials[[#This Row],[ Units_Sold ]]</f>
        <v/>
      </c>
      <c r="V569">
        <f>Financials[[#This Row],[ Profit ]]/Financials[[#This Row],[ Units_Sold ]]</f>
        <v/>
      </c>
      <c r="W569">
        <f>IF(Financials[[#This Row],[ Profit ]]&lt;0,1,0)</f>
        <v/>
      </c>
    </row>
    <row r="570">
      <c r="A570" t="inlineStr">
        <is>
          <t>Government</t>
        </is>
      </c>
      <c r="B570" t="inlineStr">
        <is>
          <t>France</t>
        </is>
      </c>
      <c r="C570" t="inlineStr">
        <is>
          <t xml:space="preserve"> VTT </t>
        </is>
      </c>
      <c r="D570" t="inlineStr">
        <is>
          <t xml:space="preserve"> High </t>
        </is>
      </c>
      <c r="E570" t="n">
        <v>1491</v>
      </c>
      <c r="F570" s="69" t="n">
        <v>250</v>
      </c>
      <c r="G570" s="69" t="n">
        <v>7</v>
      </c>
      <c r="H570" s="69" t="n">
        <v>10437</v>
      </c>
      <c r="I570" s="5" t="n">
        <v>1252.44</v>
      </c>
      <c r="J570" s="69" t="n">
        <v>9184.559999999999</v>
      </c>
      <c r="K570" s="69" t="n">
        <v>7455</v>
      </c>
      <c r="L570" s="69" t="n">
        <v>1729.56</v>
      </c>
      <c r="M570" s="1" t="n">
        <v>41642</v>
      </c>
      <c r="N570" t="n">
        <v>3</v>
      </c>
      <c r="O570" t="inlineStr">
        <is>
          <t xml:space="preserve"> March </t>
        </is>
      </c>
      <c r="P570" t="n">
        <v>2014</v>
      </c>
      <c r="Q570">
        <f>IF(Financials[[#This Row],[ Units_Sold ]]&lt;&gt;INT(Financials[[#This Row],[ Units_Sold ]]),1,0)</f>
        <v/>
      </c>
      <c r="R570" s="10">
        <f>Financials[[#This Row],[ Profit ]]/Financials[[#This Row],[  Sales ]]</f>
        <v/>
      </c>
      <c r="S570" s="2">
        <f>Financials[[#This Row],[ COGS ]]/Financials[[#This Row],[  Sales ]]</f>
        <v/>
      </c>
      <c r="T570" s="3">
        <f>Financials[[#This Row],[ Discounts ]]/Financials[[#This Row],[  Sales ]]</f>
        <v/>
      </c>
      <c r="U570">
        <f>Financials[[#This Row],[  Sales ]]/Financials[[#This Row],[ Units_Sold ]]</f>
        <v/>
      </c>
      <c r="V570">
        <f>Financials[[#This Row],[ Profit ]]/Financials[[#This Row],[ Units_Sold ]]</f>
        <v/>
      </c>
      <c r="W570">
        <f>IF(Financials[[#This Row],[ Profit ]]&lt;0,1,0)</f>
        <v/>
      </c>
    </row>
    <row r="571">
      <c r="A571" t="inlineStr">
        <is>
          <t>Government</t>
        </is>
      </c>
      <c r="B571" t="inlineStr">
        <is>
          <t>Germany</t>
        </is>
      </c>
      <c r="C571" t="inlineStr">
        <is>
          <t xml:space="preserve"> VTT </t>
        </is>
      </c>
      <c r="D571" t="inlineStr">
        <is>
          <t xml:space="preserve"> High </t>
        </is>
      </c>
      <c r="E571" t="n">
        <v>1531</v>
      </c>
      <c r="F571" s="69" t="n">
        <v>250</v>
      </c>
      <c r="G571" s="69" t="n">
        <v>20</v>
      </c>
      <c r="H571" s="69" t="n">
        <v>30620</v>
      </c>
      <c r="I571" s="5" t="n">
        <v>3674.4</v>
      </c>
      <c r="J571" s="69" t="n">
        <v>26945.6</v>
      </c>
      <c r="K571" s="69" t="n">
        <v>15310</v>
      </c>
      <c r="L571" s="69" t="n">
        <v>11635.6</v>
      </c>
      <c r="M571" s="1" t="n">
        <v>41651</v>
      </c>
      <c r="N571" t="n">
        <v>12</v>
      </c>
      <c r="O571" t="inlineStr">
        <is>
          <t xml:space="preserve"> December </t>
        </is>
      </c>
      <c r="P571" t="n">
        <v>2014</v>
      </c>
      <c r="Q571">
        <f>IF(Financials[[#This Row],[ Units_Sold ]]&lt;&gt;INT(Financials[[#This Row],[ Units_Sold ]]),1,0)</f>
        <v/>
      </c>
      <c r="R571" s="10">
        <f>Financials[[#This Row],[ Profit ]]/Financials[[#This Row],[  Sales ]]</f>
        <v/>
      </c>
      <c r="S571" s="2">
        <f>Financials[[#This Row],[ COGS ]]/Financials[[#This Row],[  Sales ]]</f>
        <v/>
      </c>
      <c r="T571" s="3">
        <f>Financials[[#This Row],[ Discounts ]]/Financials[[#This Row],[  Sales ]]</f>
        <v/>
      </c>
      <c r="U571">
        <f>Financials[[#This Row],[  Sales ]]/Financials[[#This Row],[ Units_Sold ]]</f>
        <v/>
      </c>
      <c r="V571">
        <f>Financials[[#This Row],[ Profit ]]/Financials[[#This Row],[ Units_Sold ]]</f>
        <v/>
      </c>
      <c r="W571">
        <f>IF(Financials[[#This Row],[ Profit ]]&lt;0,1,0)</f>
        <v/>
      </c>
    </row>
    <row r="572">
      <c r="A572" t="inlineStr">
        <is>
          <t>Channel Partners</t>
        </is>
      </c>
      <c r="B572" t="inlineStr">
        <is>
          <t>Canada</t>
        </is>
      </c>
      <c r="C572" t="inlineStr">
        <is>
          <t xml:space="preserve"> Amarilla </t>
        </is>
      </c>
      <c r="D572" t="inlineStr">
        <is>
          <t xml:space="preserve"> High </t>
        </is>
      </c>
      <c r="E572" t="n">
        <v>2761</v>
      </c>
      <c r="F572" s="69" t="n">
        <v>260</v>
      </c>
      <c r="G572" s="69" t="n">
        <v>12</v>
      </c>
      <c r="H572" s="69" t="n">
        <v>33132</v>
      </c>
      <c r="I572" s="5" t="n">
        <v>3975.84</v>
      </c>
      <c r="J572" s="69" t="n">
        <v>29156.16</v>
      </c>
      <c r="K572" s="69" t="n">
        <v>8283</v>
      </c>
      <c r="L572" s="69" t="n">
        <v>20873.16</v>
      </c>
      <c r="M572" s="1" t="n">
        <v>41283</v>
      </c>
      <c r="N572" t="n">
        <v>9</v>
      </c>
      <c r="O572" t="inlineStr">
        <is>
          <t xml:space="preserve"> September </t>
        </is>
      </c>
      <c r="P572" t="n">
        <v>2013</v>
      </c>
      <c r="Q572">
        <f>IF(Financials[[#This Row],[ Units_Sold ]]&lt;&gt;INT(Financials[[#This Row],[ Units_Sold ]]),1,0)</f>
        <v/>
      </c>
      <c r="R572" s="10">
        <f>Financials[[#This Row],[ Profit ]]/Financials[[#This Row],[  Sales ]]</f>
        <v/>
      </c>
      <c r="S572" s="2">
        <f>Financials[[#This Row],[ COGS ]]/Financials[[#This Row],[  Sales ]]</f>
        <v/>
      </c>
      <c r="T572" s="3">
        <f>Financials[[#This Row],[ Discounts ]]/Financials[[#This Row],[  Sales ]]</f>
        <v/>
      </c>
      <c r="U572">
        <f>Financials[[#This Row],[  Sales ]]/Financials[[#This Row],[ Units_Sold ]]</f>
        <v/>
      </c>
      <c r="V572">
        <f>Financials[[#This Row],[ Profit ]]/Financials[[#This Row],[ Units_Sold ]]</f>
        <v/>
      </c>
      <c r="W572">
        <f>IF(Financials[[#This Row],[ Profit ]]&lt;0,1,0)</f>
        <v/>
      </c>
    </row>
    <row r="573">
      <c r="A573" t="inlineStr">
        <is>
          <t>Midmarket</t>
        </is>
      </c>
      <c r="B573" t="inlineStr">
        <is>
          <t>United States of America</t>
        </is>
      </c>
      <c r="C573" t="inlineStr">
        <is>
          <t xml:space="preserve"> Carretera </t>
        </is>
      </c>
      <c r="D573" t="inlineStr">
        <is>
          <t xml:space="preserve"> High </t>
        </is>
      </c>
      <c r="E573" t="n">
        <v>2567</v>
      </c>
      <c r="F573" s="69" t="n">
        <v>3</v>
      </c>
      <c r="G573" s="69" t="n">
        <v>15</v>
      </c>
      <c r="H573" s="69" t="n">
        <v>38505</v>
      </c>
      <c r="I573" s="5" t="n">
        <v>5005.65</v>
      </c>
      <c r="J573" s="69" t="n">
        <v>33499.35</v>
      </c>
      <c r="K573" s="69" t="n">
        <v>25670</v>
      </c>
      <c r="L573" s="69" t="n">
        <v>7829.35</v>
      </c>
      <c r="M573" s="1" t="n">
        <v>41645</v>
      </c>
      <c r="N573" t="n">
        <v>6</v>
      </c>
      <c r="O573" t="inlineStr">
        <is>
          <t xml:space="preserve"> June </t>
        </is>
      </c>
      <c r="P573" t="n">
        <v>2014</v>
      </c>
      <c r="Q573">
        <f>IF(Financials[[#This Row],[ Units_Sold ]]&lt;&gt;INT(Financials[[#This Row],[ Units_Sold ]]),1,0)</f>
        <v/>
      </c>
      <c r="R573" s="10">
        <f>Financials[[#This Row],[ Profit ]]/Financials[[#This Row],[  Sales ]]</f>
        <v/>
      </c>
      <c r="S573" s="2">
        <f>Financials[[#This Row],[ COGS ]]/Financials[[#This Row],[  Sales ]]</f>
        <v/>
      </c>
      <c r="T573" s="3">
        <f>Financials[[#This Row],[ Discounts ]]/Financials[[#This Row],[  Sales ]]</f>
        <v/>
      </c>
      <c r="U573">
        <f>Financials[[#This Row],[  Sales ]]/Financials[[#This Row],[ Units_Sold ]]</f>
        <v/>
      </c>
      <c r="V573">
        <f>Financials[[#This Row],[ Profit ]]/Financials[[#This Row],[ Units_Sold ]]</f>
        <v/>
      </c>
      <c r="W573">
        <f>IF(Financials[[#This Row],[ Profit ]]&lt;0,1,0)</f>
        <v/>
      </c>
    </row>
    <row r="574">
      <c r="A574" t="inlineStr">
        <is>
          <t>Midmarket</t>
        </is>
      </c>
      <c r="B574" t="inlineStr">
        <is>
          <t>United States of America</t>
        </is>
      </c>
      <c r="C574" t="inlineStr">
        <is>
          <t xml:space="preserve"> VTT </t>
        </is>
      </c>
      <c r="D574" t="inlineStr">
        <is>
          <t xml:space="preserve"> High </t>
        </is>
      </c>
      <c r="E574" t="n">
        <v>2567</v>
      </c>
      <c r="F574" s="69" t="n">
        <v>250</v>
      </c>
      <c r="G574" s="69" t="n">
        <v>15</v>
      </c>
      <c r="H574" s="69" t="n">
        <v>38505</v>
      </c>
      <c r="I574" s="5" t="n">
        <v>5005.65</v>
      </c>
      <c r="J574" s="69" t="n">
        <v>33499.35</v>
      </c>
      <c r="K574" s="69" t="n">
        <v>25670</v>
      </c>
      <c r="L574" s="69" t="n">
        <v>7829.35</v>
      </c>
      <c r="M574" s="1" t="n">
        <v>41645</v>
      </c>
      <c r="N574" t="n">
        <v>6</v>
      </c>
      <c r="O574" t="inlineStr">
        <is>
          <t xml:space="preserve"> June </t>
        </is>
      </c>
      <c r="P574" t="n">
        <v>2014</v>
      </c>
      <c r="Q574">
        <f>IF(Financials[[#This Row],[ Units_Sold ]]&lt;&gt;INT(Financials[[#This Row],[ Units_Sold ]]),1,0)</f>
        <v/>
      </c>
      <c r="R574" s="10">
        <f>Financials[[#This Row],[ Profit ]]/Financials[[#This Row],[  Sales ]]</f>
        <v/>
      </c>
      <c r="S574" s="2">
        <f>Financials[[#This Row],[ COGS ]]/Financials[[#This Row],[  Sales ]]</f>
        <v/>
      </c>
      <c r="T574" s="3">
        <f>Financials[[#This Row],[ Discounts ]]/Financials[[#This Row],[  Sales ]]</f>
        <v/>
      </c>
      <c r="U574">
        <f>Financials[[#This Row],[  Sales ]]/Financials[[#This Row],[ Units_Sold ]]</f>
        <v/>
      </c>
      <c r="V574">
        <f>Financials[[#This Row],[ Profit ]]/Financials[[#This Row],[ Units_Sold ]]</f>
        <v/>
      </c>
      <c r="W574">
        <f>IF(Financials[[#This Row],[ Profit ]]&lt;0,1,0)</f>
        <v/>
      </c>
    </row>
    <row r="575">
      <c r="A575" t="inlineStr">
        <is>
          <t>Government</t>
        </is>
      </c>
      <c r="B575" t="inlineStr">
        <is>
          <t>Canada</t>
        </is>
      </c>
      <c r="C575" t="inlineStr">
        <is>
          <t xml:space="preserve"> Carretera </t>
        </is>
      </c>
      <c r="D575" t="inlineStr">
        <is>
          <t xml:space="preserve"> High </t>
        </is>
      </c>
      <c r="E575" t="n">
        <v>923</v>
      </c>
      <c r="F575" s="69" t="n">
        <v>3</v>
      </c>
      <c r="G575" s="69" t="n">
        <v>350</v>
      </c>
      <c r="H575" s="69" t="n">
        <v>323050</v>
      </c>
      <c r="I575" s="5" t="n">
        <v>41996.5</v>
      </c>
      <c r="J575" s="69" t="n">
        <v>281053.5</v>
      </c>
      <c r="K575" s="69" t="n">
        <v>239980</v>
      </c>
      <c r="L575" s="69" t="n">
        <v>41073.5</v>
      </c>
      <c r="M575" s="1" t="n">
        <v>41642</v>
      </c>
      <c r="N575" t="n">
        <v>3</v>
      </c>
      <c r="O575" t="inlineStr">
        <is>
          <t xml:space="preserve"> March </t>
        </is>
      </c>
      <c r="P575" t="n">
        <v>2014</v>
      </c>
      <c r="Q575">
        <f>IF(Financials[[#This Row],[ Units_Sold ]]&lt;&gt;INT(Financials[[#This Row],[ Units_Sold ]]),1,0)</f>
        <v/>
      </c>
      <c r="R575" s="10">
        <f>Financials[[#This Row],[ Profit ]]/Financials[[#This Row],[  Sales ]]</f>
        <v/>
      </c>
      <c r="S575" s="2">
        <f>Financials[[#This Row],[ COGS ]]/Financials[[#This Row],[  Sales ]]</f>
        <v/>
      </c>
      <c r="T575" s="3">
        <f>Financials[[#This Row],[ Discounts ]]/Financials[[#This Row],[  Sales ]]</f>
        <v/>
      </c>
      <c r="U575">
        <f>Financials[[#This Row],[  Sales ]]/Financials[[#This Row],[ Units_Sold ]]</f>
        <v/>
      </c>
      <c r="V575">
        <f>Financials[[#This Row],[ Profit ]]/Financials[[#This Row],[ Units_Sold ]]</f>
        <v/>
      </c>
      <c r="W575">
        <f>IF(Financials[[#This Row],[ Profit ]]&lt;0,1,0)</f>
        <v/>
      </c>
    </row>
    <row r="576">
      <c r="A576" t="inlineStr">
        <is>
          <t>Government</t>
        </is>
      </c>
      <c r="B576" t="inlineStr">
        <is>
          <t>France</t>
        </is>
      </c>
      <c r="C576" t="inlineStr">
        <is>
          <t xml:space="preserve"> Carretera </t>
        </is>
      </c>
      <c r="D576" t="inlineStr">
        <is>
          <t xml:space="preserve"> High </t>
        </is>
      </c>
      <c r="E576" t="n">
        <v>1790</v>
      </c>
      <c r="F576" s="69" t="n">
        <v>3</v>
      </c>
      <c r="G576" s="69" t="n">
        <v>350</v>
      </c>
      <c r="H576" s="69" t="n">
        <v>626500</v>
      </c>
      <c r="I576" s="5" t="n">
        <v>81445</v>
      </c>
      <c r="J576" s="69" t="n">
        <v>545055</v>
      </c>
      <c r="K576" s="69" t="n">
        <v>465400</v>
      </c>
      <c r="L576" s="69" t="n">
        <v>79655</v>
      </c>
      <c r="M576" s="1" t="n">
        <v>41642</v>
      </c>
      <c r="N576" t="n">
        <v>3</v>
      </c>
      <c r="O576" t="inlineStr">
        <is>
          <t xml:space="preserve"> March </t>
        </is>
      </c>
      <c r="P576" t="n">
        <v>2014</v>
      </c>
      <c r="Q576">
        <f>IF(Financials[[#This Row],[ Units_Sold ]]&lt;&gt;INT(Financials[[#This Row],[ Units_Sold ]]),1,0)</f>
        <v/>
      </c>
      <c r="R576" s="10">
        <f>Financials[[#This Row],[ Profit ]]/Financials[[#This Row],[  Sales ]]</f>
        <v/>
      </c>
      <c r="S576" s="2">
        <f>Financials[[#This Row],[ COGS ]]/Financials[[#This Row],[  Sales ]]</f>
        <v/>
      </c>
      <c r="T576" s="3">
        <f>Financials[[#This Row],[ Discounts ]]/Financials[[#This Row],[  Sales ]]</f>
        <v/>
      </c>
      <c r="U576">
        <f>Financials[[#This Row],[  Sales ]]/Financials[[#This Row],[ Units_Sold ]]</f>
        <v/>
      </c>
      <c r="V576">
        <f>Financials[[#This Row],[ Profit ]]/Financials[[#This Row],[ Units_Sold ]]</f>
        <v/>
      </c>
      <c r="W576">
        <f>IF(Financials[[#This Row],[ Profit ]]&lt;0,1,0)</f>
        <v/>
      </c>
    </row>
    <row r="577">
      <c r="A577" t="inlineStr">
        <is>
          <t>Government</t>
        </is>
      </c>
      <c r="B577" t="inlineStr">
        <is>
          <t>Germany</t>
        </is>
      </c>
      <c r="C577" t="inlineStr">
        <is>
          <t xml:space="preserve"> Carretera </t>
        </is>
      </c>
      <c r="D577" t="inlineStr">
        <is>
          <t xml:space="preserve"> High </t>
        </is>
      </c>
      <c r="E577" t="n">
        <v>442</v>
      </c>
      <c r="F577" s="69" t="n">
        <v>3</v>
      </c>
      <c r="G577" s="69" t="n">
        <v>20</v>
      </c>
      <c r="H577" s="69" t="n">
        <v>8840</v>
      </c>
      <c r="I577" s="5" t="n">
        <v>1149.2</v>
      </c>
      <c r="J577" s="69" t="n">
        <v>7690.8</v>
      </c>
      <c r="K577" s="69" t="n">
        <v>4420</v>
      </c>
      <c r="L577" s="69" t="n">
        <v>3270.8</v>
      </c>
      <c r="M577" s="1" t="n">
        <v>41283</v>
      </c>
      <c r="N577" t="n">
        <v>9</v>
      </c>
      <c r="O577" t="inlineStr">
        <is>
          <t xml:space="preserve"> September </t>
        </is>
      </c>
      <c r="P577" t="n">
        <v>2013</v>
      </c>
      <c r="Q577">
        <f>IF(Financials[[#This Row],[ Units_Sold ]]&lt;&gt;INT(Financials[[#This Row],[ Units_Sold ]]),1,0)</f>
        <v/>
      </c>
      <c r="R577" s="10">
        <f>Financials[[#This Row],[ Profit ]]/Financials[[#This Row],[  Sales ]]</f>
        <v/>
      </c>
      <c r="S577" s="2">
        <f>Financials[[#This Row],[ COGS ]]/Financials[[#This Row],[  Sales ]]</f>
        <v/>
      </c>
      <c r="T577" s="3">
        <f>Financials[[#This Row],[ Discounts ]]/Financials[[#This Row],[  Sales ]]</f>
        <v/>
      </c>
      <c r="U577">
        <f>Financials[[#This Row],[  Sales ]]/Financials[[#This Row],[ Units_Sold ]]</f>
        <v/>
      </c>
      <c r="V577">
        <f>Financials[[#This Row],[ Profit ]]/Financials[[#This Row],[ Units_Sold ]]</f>
        <v/>
      </c>
      <c r="W577">
        <f>IF(Financials[[#This Row],[ Profit ]]&lt;0,1,0)</f>
        <v/>
      </c>
    </row>
    <row r="578">
      <c r="A578" t="inlineStr">
        <is>
          <t>Government</t>
        </is>
      </c>
      <c r="B578" t="inlineStr">
        <is>
          <t>United States of America</t>
        </is>
      </c>
      <c r="C578" t="inlineStr">
        <is>
          <t xml:space="preserve"> Montana </t>
        </is>
      </c>
      <c r="D578" t="inlineStr">
        <is>
          <t xml:space="preserve"> High </t>
        </is>
      </c>
      <c r="E578" t="n">
        <v>982.5</v>
      </c>
      <c r="F578" s="69" t="n">
        <v>5</v>
      </c>
      <c r="G578" s="69" t="n">
        <v>350</v>
      </c>
      <c r="H578" s="69" t="n">
        <v>343875</v>
      </c>
      <c r="I578" s="5" t="n">
        <v>44703.75</v>
      </c>
      <c r="J578" s="69" t="n">
        <v>299171.25</v>
      </c>
      <c r="K578" s="69" t="n">
        <v>255450</v>
      </c>
      <c r="L578" s="69" t="n">
        <v>43721.25</v>
      </c>
      <c r="M578" s="1" t="n">
        <v>41640</v>
      </c>
      <c r="N578" t="n">
        <v>1</v>
      </c>
      <c r="O578" t="inlineStr">
        <is>
          <t xml:space="preserve"> January </t>
        </is>
      </c>
      <c r="P578" t="n">
        <v>2014</v>
      </c>
      <c r="Q578">
        <f>IF(Financials[[#This Row],[ Units_Sold ]]&lt;&gt;INT(Financials[[#This Row],[ Units_Sold ]]),1,0)</f>
        <v/>
      </c>
      <c r="R578" s="10">
        <f>Financials[[#This Row],[ Profit ]]/Financials[[#This Row],[  Sales ]]</f>
        <v/>
      </c>
      <c r="S578" s="2">
        <f>Financials[[#This Row],[ COGS ]]/Financials[[#This Row],[  Sales ]]</f>
        <v/>
      </c>
      <c r="T578" s="3">
        <f>Financials[[#This Row],[ Discounts ]]/Financials[[#This Row],[  Sales ]]</f>
        <v/>
      </c>
      <c r="U578">
        <f>Financials[[#This Row],[  Sales ]]/Financials[[#This Row],[ Units_Sold ]]</f>
        <v/>
      </c>
      <c r="V578">
        <f>Financials[[#This Row],[ Profit ]]/Financials[[#This Row],[ Units_Sold ]]</f>
        <v/>
      </c>
      <c r="W578">
        <f>IF(Financials[[#This Row],[ Profit ]]&lt;0,1,0)</f>
        <v/>
      </c>
    </row>
    <row r="579">
      <c r="A579" t="inlineStr">
        <is>
          <t>Government</t>
        </is>
      </c>
      <c r="B579" t="inlineStr">
        <is>
          <t>United States of America</t>
        </is>
      </c>
      <c r="C579" t="inlineStr">
        <is>
          <t xml:space="preserve"> Montana </t>
        </is>
      </c>
      <c r="D579" t="inlineStr">
        <is>
          <t xml:space="preserve"> High </t>
        </is>
      </c>
      <c r="E579" t="n">
        <v>1298</v>
      </c>
      <c r="F579" s="69" t="n">
        <v>5</v>
      </c>
      <c r="G579" s="69" t="n">
        <v>7</v>
      </c>
      <c r="H579" s="69" t="n">
        <v>9086</v>
      </c>
      <c r="I579" s="5" t="n">
        <v>1181.18</v>
      </c>
      <c r="J579" s="69" t="n">
        <v>7904.82</v>
      </c>
      <c r="K579" s="69" t="n">
        <v>6490</v>
      </c>
      <c r="L579" s="69" t="n">
        <v>1414.82</v>
      </c>
      <c r="M579" s="1" t="n">
        <v>41641</v>
      </c>
      <c r="N579" t="n">
        <v>2</v>
      </c>
      <c r="O579" t="inlineStr">
        <is>
          <t xml:space="preserve"> February </t>
        </is>
      </c>
      <c r="P579" t="n">
        <v>2014</v>
      </c>
      <c r="Q579">
        <f>IF(Financials[[#This Row],[ Units_Sold ]]&lt;&gt;INT(Financials[[#This Row],[ Units_Sold ]]),1,0)</f>
        <v/>
      </c>
      <c r="R579" s="10">
        <f>Financials[[#This Row],[ Profit ]]/Financials[[#This Row],[  Sales ]]</f>
        <v/>
      </c>
      <c r="S579" s="2">
        <f>Financials[[#This Row],[ COGS ]]/Financials[[#This Row],[  Sales ]]</f>
        <v/>
      </c>
      <c r="T579" s="3">
        <f>Financials[[#This Row],[ Discounts ]]/Financials[[#This Row],[  Sales ]]</f>
        <v/>
      </c>
      <c r="U579">
        <f>Financials[[#This Row],[  Sales ]]/Financials[[#This Row],[ Units_Sold ]]</f>
        <v/>
      </c>
      <c r="V579">
        <f>Financials[[#This Row],[ Profit ]]/Financials[[#This Row],[ Units_Sold ]]</f>
        <v/>
      </c>
      <c r="W579">
        <f>IF(Financials[[#This Row],[ Profit ]]&lt;0,1,0)</f>
        <v/>
      </c>
    </row>
    <row r="580">
      <c r="A580" t="inlineStr">
        <is>
          <t>Channel Partners</t>
        </is>
      </c>
      <c r="B580" t="inlineStr">
        <is>
          <t>Mexico</t>
        </is>
      </c>
      <c r="C580" t="inlineStr">
        <is>
          <t xml:space="preserve"> Montana </t>
        </is>
      </c>
      <c r="D580" t="inlineStr">
        <is>
          <t xml:space="preserve"> High </t>
        </is>
      </c>
      <c r="E580" t="n">
        <v>604</v>
      </c>
      <c r="F580" s="69" t="n">
        <v>5</v>
      </c>
      <c r="G580" s="69" t="n">
        <v>12</v>
      </c>
      <c r="H580" s="69" t="n">
        <v>7248</v>
      </c>
      <c r="I580" s="5" t="n">
        <v>942.24</v>
      </c>
      <c r="J580" s="69" t="n">
        <v>6305.76</v>
      </c>
      <c r="K580" s="69" t="n">
        <v>1812</v>
      </c>
      <c r="L580" s="69" t="n">
        <v>4493.76</v>
      </c>
      <c r="M580" s="1" t="n">
        <v>41645</v>
      </c>
      <c r="N580" t="n">
        <v>6</v>
      </c>
      <c r="O580" t="inlineStr">
        <is>
          <t xml:space="preserve"> June </t>
        </is>
      </c>
      <c r="P580" t="n">
        <v>2014</v>
      </c>
      <c r="Q580">
        <f>IF(Financials[[#This Row],[ Units_Sold ]]&lt;&gt;INT(Financials[[#This Row],[ Units_Sold ]]),1,0)</f>
        <v/>
      </c>
      <c r="R580" s="10">
        <f>Financials[[#This Row],[ Profit ]]/Financials[[#This Row],[  Sales ]]</f>
        <v/>
      </c>
      <c r="S580" s="2">
        <f>Financials[[#This Row],[ COGS ]]/Financials[[#This Row],[  Sales ]]</f>
        <v/>
      </c>
      <c r="T580" s="3">
        <f>Financials[[#This Row],[ Discounts ]]/Financials[[#This Row],[  Sales ]]</f>
        <v/>
      </c>
      <c r="U580">
        <f>Financials[[#This Row],[  Sales ]]/Financials[[#This Row],[ Units_Sold ]]</f>
        <v/>
      </c>
      <c r="V580">
        <f>Financials[[#This Row],[ Profit ]]/Financials[[#This Row],[ Units_Sold ]]</f>
        <v/>
      </c>
      <c r="W580">
        <f>IF(Financials[[#This Row],[ Profit ]]&lt;0,1,0)</f>
        <v/>
      </c>
    </row>
    <row r="581">
      <c r="A581" t="inlineStr">
        <is>
          <t>Government</t>
        </is>
      </c>
      <c r="B581" t="inlineStr">
        <is>
          <t>Mexico</t>
        </is>
      </c>
      <c r="C581" t="inlineStr">
        <is>
          <t xml:space="preserve"> Montana </t>
        </is>
      </c>
      <c r="D581" t="inlineStr">
        <is>
          <t xml:space="preserve"> High </t>
        </is>
      </c>
      <c r="E581" t="n">
        <v>2255</v>
      </c>
      <c r="F581" s="69" t="n">
        <v>5</v>
      </c>
      <c r="G581" s="69" t="n">
        <v>20</v>
      </c>
      <c r="H581" s="69" t="n">
        <v>45100</v>
      </c>
      <c r="I581" s="5" t="n">
        <v>5863</v>
      </c>
      <c r="J581" s="69" t="n">
        <v>39237</v>
      </c>
      <c r="K581" s="69" t="n">
        <v>22550</v>
      </c>
      <c r="L581" s="69" t="n">
        <v>16687</v>
      </c>
      <c r="M581" s="1" t="n">
        <v>41646</v>
      </c>
      <c r="N581" t="n">
        <v>7</v>
      </c>
      <c r="O581" t="inlineStr">
        <is>
          <t xml:space="preserve"> July </t>
        </is>
      </c>
      <c r="P581" t="n">
        <v>2014</v>
      </c>
      <c r="Q581">
        <f>IF(Financials[[#This Row],[ Units_Sold ]]&lt;&gt;INT(Financials[[#This Row],[ Units_Sold ]]),1,0)</f>
        <v/>
      </c>
      <c r="R581" s="10">
        <f>Financials[[#This Row],[ Profit ]]/Financials[[#This Row],[  Sales ]]</f>
        <v/>
      </c>
      <c r="S581" s="2">
        <f>Financials[[#This Row],[ COGS ]]/Financials[[#This Row],[  Sales ]]</f>
        <v/>
      </c>
      <c r="T581" s="3">
        <f>Financials[[#This Row],[ Discounts ]]/Financials[[#This Row],[  Sales ]]</f>
        <v/>
      </c>
      <c r="U581">
        <f>Financials[[#This Row],[  Sales ]]/Financials[[#This Row],[ Units_Sold ]]</f>
        <v/>
      </c>
      <c r="V581">
        <f>Financials[[#This Row],[ Profit ]]/Financials[[#This Row],[ Units_Sold ]]</f>
        <v/>
      </c>
      <c r="W581">
        <f>IF(Financials[[#This Row],[ Profit ]]&lt;0,1,0)</f>
        <v/>
      </c>
    </row>
    <row r="582">
      <c r="A582" t="inlineStr">
        <is>
          <t>Government</t>
        </is>
      </c>
      <c r="B582" t="inlineStr">
        <is>
          <t>Canada</t>
        </is>
      </c>
      <c r="C582" t="inlineStr">
        <is>
          <t xml:space="preserve"> Montana </t>
        </is>
      </c>
      <c r="D582" t="inlineStr">
        <is>
          <t xml:space="preserve"> High </t>
        </is>
      </c>
      <c r="E582" t="n">
        <v>1249</v>
      </c>
      <c r="F582" s="69" t="n">
        <v>5</v>
      </c>
      <c r="G582" s="69" t="n">
        <v>20</v>
      </c>
      <c r="H582" s="69" t="n">
        <v>24980</v>
      </c>
      <c r="I582" s="5" t="n">
        <v>3247.4</v>
      </c>
      <c r="J582" s="69" t="n">
        <v>21732.6</v>
      </c>
      <c r="K582" s="69" t="n">
        <v>12490</v>
      </c>
      <c r="L582" s="69" t="n">
        <v>9242.6</v>
      </c>
      <c r="M582" s="1" t="n">
        <v>41649</v>
      </c>
      <c r="N582" t="n">
        <v>10</v>
      </c>
      <c r="O582" t="inlineStr">
        <is>
          <t xml:space="preserve"> October </t>
        </is>
      </c>
      <c r="P582" t="n">
        <v>2014</v>
      </c>
      <c r="Q582">
        <f>IF(Financials[[#This Row],[ Units_Sold ]]&lt;&gt;INT(Financials[[#This Row],[ Units_Sold ]]),1,0)</f>
        <v/>
      </c>
      <c r="R582" s="10">
        <f>Financials[[#This Row],[ Profit ]]/Financials[[#This Row],[  Sales ]]</f>
        <v/>
      </c>
      <c r="S582" s="2">
        <f>Financials[[#This Row],[ COGS ]]/Financials[[#This Row],[  Sales ]]</f>
        <v/>
      </c>
      <c r="T582" s="3">
        <f>Financials[[#This Row],[ Discounts ]]/Financials[[#This Row],[  Sales ]]</f>
        <v/>
      </c>
      <c r="U582">
        <f>Financials[[#This Row],[  Sales ]]/Financials[[#This Row],[ Units_Sold ]]</f>
        <v/>
      </c>
      <c r="V582">
        <f>Financials[[#This Row],[ Profit ]]/Financials[[#This Row],[ Units_Sold ]]</f>
        <v/>
      </c>
      <c r="W582">
        <f>IF(Financials[[#This Row],[ Profit ]]&lt;0,1,0)</f>
        <v/>
      </c>
    </row>
    <row r="583">
      <c r="A583" t="inlineStr">
        <is>
          <t>Government</t>
        </is>
      </c>
      <c r="B583" t="inlineStr">
        <is>
          <t>United States of America</t>
        </is>
      </c>
      <c r="C583" t="inlineStr">
        <is>
          <t xml:space="preserve"> Paseo </t>
        </is>
      </c>
      <c r="D583" t="inlineStr">
        <is>
          <t xml:space="preserve"> High </t>
        </is>
      </c>
      <c r="E583" t="n">
        <v>1438.5</v>
      </c>
      <c r="F583" s="69" t="n">
        <v>10</v>
      </c>
      <c r="G583" s="69" t="n">
        <v>7</v>
      </c>
      <c r="H583" s="69" t="n">
        <v>10069.5</v>
      </c>
      <c r="I583" s="5" t="n">
        <v>1309.04</v>
      </c>
      <c r="J583" s="69" t="n">
        <v>8760.469999999999</v>
      </c>
      <c r="K583" s="69" t="n">
        <v>7192.5</v>
      </c>
      <c r="L583" s="69" t="n">
        <v>1567.97</v>
      </c>
      <c r="M583" s="1" t="n">
        <v>41640</v>
      </c>
      <c r="N583" t="n">
        <v>1</v>
      </c>
      <c r="O583" t="inlineStr">
        <is>
          <t xml:space="preserve"> January </t>
        </is>
      </c>
      <c r="P583" t="n">
        <v>2014</v>
      </c>
      <c r="Q583">
        <f>IF(Financials[[#This Row],[ Units_Sold ]]&lt;&gt;INT(Financials[[#This Row],[ Units_Sold ]]),1,0)</f>
        <v/>
      </c>
      <c r="R583" s="10">
        <f>Financials[[#This Row],[ Profit ]]/Financials[[#This Row],[  Sales ]]</f>
        <v/>
      </c>
      <c r="S583" s="2">
        <f>Financials[[#This Row],[ COGS ]]/Financials[[#This Row],[  Sales ]]</f>
        <v/>
      </c>
      <c r="T583" s="3">
        <f>Financials[[#This Row],[ Discounts ]]/Financials[[#This Row],[  Sales ]]</f>
        <v/>
      </c>
      <c r="U583">
        <f>Financials[[#This Row],[  Sales ]]/Financials[[#This Row],[ Units_Sold ]]</f>
        <v/>
      </c>
      <c r="V583">
        <f>Financials[[#This Row],[ Profit ]]/Financials[[#This Row],[ Units_Sold ]]</f>
        <v/>
      </c>
      <c r="W583">
        <f>IF(Financials[[#This Row],[ Profit ]]&lt;0,1,0)</f>
        <v/>
      </c>
    </row>
    <row r="584">
      <c r="A584" t="inlineStr">
        <is>
          <t>Small Business</t>
        </is>
      </c>
      <c r="B584" t="inlineStr">
        <is>
          <t>Germany</t>
        </is>
      </c>
      <c r="C584" t="inlineStr">
        <is>
          <t xml:space="preserve"> Paseo </t>
        </is>
      </c>
      <c r="D584" t="inlineStr">
        <is>
          <t xml:space="preserve"> High </t>
        </is>
      </c>
      <c r="E584" t="n">
        <v>807</v>
      </c>
      <c r="F584" s="69" t="n">
        <v>10</v>
      </c>
      <c r="G584" s="69" t="n">
        <v>300</v>
      </c>
      <c r="H584" s="69" t="n">
        <v>242100</v>
      </c>
      <c r="I584" s="5" t="n">
        <v>31473</v>
      </c>
      <c r="J584" s="69" t="n">
        <v>210627</v>
      </c>
      <c r="K584" s="69" t="n">
        <v>201750</v>
      </c>
      <c r="L584" s="69" t="n">
        <v>8877</v>
      </c>
      <c r="M584" s="1" t="n">
        <v>41640</v>
      </c>
      <c r="N584" t="n">
        <v>1</v>
      </c>
      <c r="O584" t="inlineStr">
        <is>
          <t xml:space="preserve"> January </t>
        </is>
      </c>
      <c r="P584" t="n">
        <v>2014</v>
      </c>
      <c r="Q584">
        <f>IF(Financials[[#This Row],[ Units_Sold ]]&lt;&gt;INT(Financials[[#This Row],[ Units_Sold ]]),1,0)</f>
        <v/>
      </c>
      <c r="R584" s="10">
        <f>Financials[[#This Row],[ Profit ]]/Financials[[#This Row],[  Sales ]]</f>
        <v/>
      </c>
      <c r="S584" s="2">
        <f>Financials[[#This Row],[ COGS ]]/Financials[[#This Row],[  Sales ]]</f>
        <v/>
      </c>
      <c r="T584" s="3">
        <f>Financials[[#This Row],[ Discounts ]]/Financials[[#This Row],[  Sales ]]</f>
        <v/>
      </c>
      <c r="U584">
        <f>Financials[[#This Row],[  Sales ]]/Financials[[#This Row],[ Units_Sold ]]</f>
        <v/>
      </c>
      <c r="V584">
        <f>Financials[[#This Row],[ Profit ]]/Financials[[#This Row],[ Units_Sold ]]</f>
        <v/>
      </c>
      <c r="W584">
        <f>IF(Financials[[#This Row],[ Profit ]]&lt;0,1,0)</f>
        <v/>
      </c>
    </row>
    <row r="585">
      <c r="A585" t="inlineStr">
        <is>
          <t>Government</t>
        </is>
      </c>
      <c r="B585" t="inlineStr">
        <is>
          <t>United States of America</t>
        </is>
      </c>
      <c r="C585" t="inlineStr">
        <is>
          <t xml:space="preserve"> Paseo </t>
        </is>
      </c>
      <c r="D585" t="inlineStr">
        <is>
          <t xml:space="preserve"> High </t>
        </is>
      </c>
      <c r="E585" t="n">
        <v>2641</v>
      </c>
      <c r="F585" s="69" t="n">
        <v>10</v>
      </c>
      <c r="G585" s="69" t="n">
        <v>20</v>
      </c>
      <c r="H585" s="69" t="n">
        <v>52820</v>
      </c>
      <c r="I585" s="5" t="n">
        <v>6866.6</v>
      </c>
      <c r="J585" s="69" t="n">
        <v>45953.4</v>
      </c>
      <c r="K585" s="69" t="n">
        <v>26410</v>
      </c>
      <c r="L585" s="69" t="n">
        <v>19543.4</v>
      </c>
      <c r="M585" s="1" t="n">
        <v>41641</v>
      </c>
      <c r="N585" t="n">
        <v>2</v>
      </c>
      <c r="O585" t="inlineStr">
        <is>
          <t xml:space="preserve"> February </t>
        </is>
      </c>
      <c r="P585" t="n">
        <v>2014</v>
      </c>
      <c r="Q585">
        <f>IF(Financials[[#This Row],[ Units_Sold ]]&lt;&gt;INT(Financials[[#This Row],[ Units_Sold ]]),1,0)</f>
        <v/>
      </c>
      <c r="R585" s="10">
        <f>Financials[[#This Row],[ Profit ]]/Financials[[#This Row],[  Sales ]]</f>
        <v/>
      </c>
      <c r="S585" s="2">
        <f>Financials[[#This Row],[ COGS ]]/Financials[[#This Row],[  Sales ]]</f>
        <v/>
      </c>
      <c r="T585" s="3">
        <f>Financials[[#This Row],[ Discounts ]]/Financials[[#This Row],[  Sales ]]</f>
        <v/>
      </c>
      <c r="U585">
        <f>Financials[[#This Row],[  Sales ]]/Financials[[#This Row],[ Units_Sold ]]</f>
        <v/>
      </c>
      <c r="V585">
        <f>Financials[[#This Row],[ Profit ]]/Financials[[#This Row],[ Units_Sold ]]</f>
        <v/>
      </c>
      <c r="W585">
        <f>IF(Financials[[#This Row],[ Profit ]]&lt;0,1,0)</f>
        <v/>
      </c>
    </row>
    <row r="586">
      <c r="A586" t="inlineStr">
        <is>
          <t>Government</t>
        </is>
      </c>
      <c r="B586" t="inlineStr">
        <is>
          <t>Germany</t>
        </is>
      </c>
      <c r="C586" t="inlineStr">
        <is>
          <t xml:space="preserve"> Paseo </t>
        </is>
      </c>
      <c r="D586" t="inlineStr">
        <is>
          <t xml:space="preserve"> High </t>
        </is>
      </c>
      <c r="E586" t="n">
        <v>2708</v>
      </c>
      <c r="F586" s="69" t="n">
        <v>10</v>
      </c>
      <c r="G586" s="69" t="n">
        <v>20</v>
      </c>
      <c r="H586" s="69" t="n">
        <v>54160</v>
      </c>
      <c r="I586" s="5" t="n">
        <v>7040.8</v>
      </c>
      <c r="J586" s="69" t="n">
        <v>47119.2</v>
      </c>
      <c r="K586" s="69" t="n">
        <v>27080</v>
      </c>
      <c r="L586" s="69" t="n">
        <v>20039.2</v>
      </c>
      <c r="M586" s="1" t="n">
        <v>41641</v>
      </c>
      <c r="N586" t="n">
        <v>2</v>
      </c>
      <c r="O586" t="inlineStr">
        <is>
          <t xml:space="preserve"> February </t>
        </is>
      </c>
      <c r="P586" t="n">
        <v>2014</v>
      </c>
      <c r="Q586">
        <f>IF(Financials[[#This Row],[ Units_Sold ]]&lt;&gt;INT(Financials[[#This Row],[ Units_Sold ]]),1,0)</f>
        <v/>
      </c>
      <c r="R586" s="10">
        <f>Financials[[#This Row],[ Profit ]]/Financials[[#This Row],[  Sales ]]</f>
        <v/>
      </c>
      <c r="S586" s="2">
        <f>Financials[[#This Row],[ COGS ]]/Financials[[#This Row],[  Sales ]]</f>
        <v/>
      </c>
      <c r="T586" s="3">
        <f>Financials[[#This Row],[ Discounts ]]/Financials[[#This Row],[  Sales ]]</f>
        <v/>
      </c>
      <c r="U586">
        <f>Financials[[#This Row],[  Sales ]]/Financials[[#This Row],[ Units_Sold ]]</f>
        <v/>
      </c>
      <c r="V586">
        <f>Financials[[#This Row],[ Profit ]]/Financials[[#This Row],[ Units_Sold ]]</f>
        <v/>
      </c>
      <c r="W586">
        <f>IF(Financials[[#This Row],[ Profit ]]&lt;0,1,0)</f>
        <v/>
      </c>
    </row>
    <row r="587">
      <c r="A587" t="inlineStr">
        <is>
          <t>Government</t>
        </is>
      </c>
      <c r="B587" t="inlineStr">
        <is>
          <t>Canada</t>
        </is>
      </c>
      <c r="C587" t="inlineStr">
        <is>
          <t xml:space="preserve"> Paseo </t>
        </is>
      </c>
      <c r="D587" t="inlineStr">
        <is>
          <t xml:space="preserve"> High </t>
        </is>
      </c>
      <c r="E587" t="n">
        <v>2632</v>
      </c>
      <c r="F587" s="69" t="n">
        <v>10</v>
      </c>
      <c r="G587" s="69" t="n">
        <v>350</v>
      </c>
      <c r="H587" s="69" t="n">
        <v>921200</v>
      </c>
      <c r="I587" s="5" t="n">
        <v>119756</v>
      </c>
      <c r="J587" s="69" t="n">
        <v>801444</v>
      </c>
      <c r="K587" s="69" t="n">
        <v>684320</v>
      </c>
      <c r="L587" s="69" t="n">
        <v>117124</v>
      </c>
      <c r="M587" s="1" t="n">
        <v>41645</v>
      </c>
      <c r="N587" t="n">
        <v>6</v>
      </c>
      <c r="O587" t="inlineStr">
        <is>
          <t xml:space="preserve"> June </t>
        </is>
      </c>
      <c r="P587" t="n">
        <v>2014</v>
      </c>
      <c r="Q587">
        <f>IF(Financials[[#This Row],[ Units_Sold ]]&lt;&gt;INT(Financials[[#This Row],[ Units_Sold ]]),1,0)</f>
        <v/>
      </c>
      <c r="R587" s="10">
        <f>Financials[[#This Row],[ Profit ]]/Financials[[#This Row],[  Sales ]]</f>
        <v/>
      </c>
      <c r="S587" s="2">
        <f>Financials[[#This Row],[ COGS ]]/Financials[[#This Row],[  Sales ]]</f>
        <v/>
      </c>
      <c r="T587" s="3">
        <f>Financials[[#This Row],[ Discounts ]]/Financials[[#This Row],[  Sales ]]</f>
        <v/>
      </c>
      <c r="U587">
        <f>Financials[[#This Row],[  Sales ]]/Financials[[#This Row],[ Units_Sold ]]</f>
        <v/>
      </c>
      <c r="V587">
        <f>Financials[[#This Row],[ Profit ]]/Financials[[#This Row],[ Units_Sold ]]</f>
        <v/>
      </c>
      <c r="W587">
        <f>IF(Financials[[#This Row],[ Profit ]]&lt;0,1,0)</f>
        <v/>
      </c>
    </row>
    <row r="588">
      <c r="A588" t="inlineStr">
        <is>
          <t>Enterprise</t>
        </is>
      </c>
      <c r="B588" t="inlineStr">
        <is>
          <t>Canada</t>
        </is>
      </c>
      <c r="C588" t="inlineStr">
        <is>
          <t xml:space="preserve"> Paseo </t>
        </is>
      </c>
      <c r="D588" t="inlineStr">
        <is>
          <t xml:space="preserve"> High </t>
        </is>
      </c>
      <c r="E588" t="n">
        <v>1583</v>
      </c>
      <c r="F588" s="69" t="n">
        <v>10</v>
      </c>
      <c r="G588" s="69" t="n">
        <v>125</v>
      </c>
      <c r="H588" s="69" t="n">
        <v>197875</v>
      </c>
      <c r="I588" s="5" t="n">
        <v>25723.75</v>
      </c>
      <c r="J588" s="69" t="n">
        <v>172151.25</v>
      </c>
      <c r="K588" s="69" t="n">
        <v>189960</v>
      </c>
      <c r="L588" s="69" t="n">
        <v>-17808.75</v>
      </c>
      <c r="M588" s="1" t="n">
        <v>41645</v>
      </c>
      <c r="N588" t="n">
        <v>6</v>
      </c>
      <c r="O588" t="inlineStr">
        <is>
          <t xml:space="preserve"> June </t>
        </is>
      </c>
      <c r="P588" t="n">
        <v>2014</v>
      </c>
      <c r="Q588">
        <f>IF(Financials[[#This Row],[ Units_Sold ]]&lt;&gt;INT(Financials[[#This Row],[ Units_Sold ]]),1,0)</f>
        <v/>
      </c>
      <c r="R588" s="10">
        <f>Financials[[#This Row],[ Profit ]]/Financials[[#This Row],[  Sales ]]</f>
        <v/>
      </c>
      <c r="S588" s="2">
        <f>Financials[[#This Row],[ COGS ]]/Financials[[#This Row],[  Sales ]]</f>
        <v/>
      </c>
      <c r="T588" s="3">
        <f>Financials[[#This Row],[ Discounts ]]/Financials[[#This Row],[  Sales ]]</f>
        <v/>
      </c>
      <c r="U588">
        <f>Financials[[#This Row],[  Sales ]]/Financials[[#This Row],[ Units_Sold ]]</f>
        <v/>
      </c>
      <c r="V588">
        <f>Financials[[#This Row],[ Profit ]]/Financials[[#This Row],[ Units_Sold ]]</f>
        <v/>
      </c>
      <c r="W588">
        <f>IF(Financials[[#This Row],[ Profit ]]&lt;0,1,0)</f>
        <v/>
      </c>
    </row>
    <row r="589">
      <c r="A589" t="inlineStr">
        <is>
          <t>Channel Partners</t>
        </is>
      </c>
      <c r="B589" t="inlineStr">
        <is>
          <t>Mexico</t>
        </is>
      </c>
      <c r="C589" t="inlineStr">
        <is>
          <t xml:space="preserve"> Paseo </t>
        </is>
      </c>
      <c r="D589" t="inlineStr">
        <is>
          <t xml:space="preserve"> High </t>
        </is>
      </c>
      <c r="E589" t="n">
        <v>571</v>
      </c>
      <c r="F589" s="69" t="n">
        <v>10</v>
      </c>
      <c r="G589" s="69" t="n">
        <v>12</v>
      </c>
      <c r="H589" s="69" t="n">
        <v>6852</v>
      </c>
      <c r="I589" s="5" t="n">
        <v>890.76</v>
      </c>
      <c r="J589" s="69" t="n">
        <v>5961.24</v>
      </c>
      <c r="K589" s="69" t="n">
        <v>1713</v>
      </c>
      <c r="L589" s="69" t="n">
        <v>4248.24</v>
      </c>
      <c r="M589" s="1" t="n">
        <v>41646</v>
      </c>
      <c r="N589" t="n">
        <v>7</v>
      </c>
      <c r="O589" t="inlineStr">
        <is>
          <t xml:space="preserve"> July </t>
        </is>
      </c>
      <c r="P589" t="n">
        <v>2014</v>
      </c>
      <c r="Q589">
        <f>IF(Financials[[#This Row],[ Units_Sold ]]&lt;&gt;INT(Financials[[#This Row],[ Units_Sold ]]),1,0)</f>
        <v/>
      </c>
      <c r="R589" s="10">
        <f>Financials[[#This Row],[ Profit ]]/Financials[[#This Row],[  Sales ]]</f>
        <v/>
      </c>
      <c r="S589" s="2">
        <f>Financials[[#This Row],[ COGS ]]/Financials[[#This Row],[  Sales ]]</f>
        <v/>
      </c>
      <c r="T589" s="3">
        <f>Financials[[#This Row],[ Discounts ]]/Financials[[#This Row],[  Sales ]]</f>
        <v/>
      </c>
      <c r="U589">
        <f>Financials[[#This Row],[  Sales ]]/Financials[[#This Row],[ Units_Sold ]]</f>
        <v/>
      </c>
      <c r="V589">
        <f>Financials[[#This Row],[ Profit ]]/Financials[[#This Row],[ Units_Sold ]]</f>
        <v/>
      </c>
      <c r="W589">
        <f>IF(Financials[[#This Row],[ Profit ]]&lt;0,1,0)</f>
        <v/>
      </c>
    </row>
    <row r="590">
      <c r="A590" t="inlineStr">
        <is>
          <t>Government</t>
        </is>
      </c>
      <c r="B590" t="inlineStr">
        <is>
          <t>France</t>
        </is>
      </c>
      <c r="C590" t="inlineStr">
        <is>
          <t xml:space="preserve"> Paseo </t>
        </is>
      </c>
      <c r="D590" t="inlineStr">
        <is>
          <t xml:space="preserve"> High </t>
        </is>
      </c>
      <c r="E590" t="n">
        <v>2696</v>
      </c>
      <c r="F590" s="69" t="n">
        <v>10</v>
      </c>
      <c r="G590" s="69" t="n">
        <v>7</v>
      </c>
      <c r="H590" s="69" t="n">
        <v>18872</v>
      </c>
      <c r="I590" s="5" t="n">
        <v>2453.36</v>
      </c>
      <c r="J590" s="69" t="n">
        <v>16418.64</v>
      </c>
      <c r="K590" s="69" t="n">
        <v>13480</v>
      </c>
      <c r="L590" s="69" t="n">
        <v>2938.64</v>
      </c>
      <c r="M590" s="1" t="n">
        <v>41647</v>
      </c>
      <c r="N590" t="n">
        <v>8</v>
      </c>
      <c r="O590" t="inlineStr">
        <is>
          <t xml:space="preserve"> August </t>
        </is>
      </c>
      <c r="P590" t="n">
        <v>2014</v>
      </c>
      <c r="Q590">
        <f>IF(Financials[[#This Row],[ Units_Sold ]]&lt;&gt;INT(Financials[[#This Row],[ Units_Sold ]]),1,0)</f>
        <v/>
      </c>
      <c r="R590" s="10">
        <f>Financials[[#This Row],[ Profit ]]/Financials[[#This Row],[  Sales ]]</f>
        <v/>
      </c>
      <c r="S590" s="2">
        <f>Financials[[#This Row],[ COGS ]]/Financials[[#This Row],[  Sales ]]</f>
        <v/>
      </c>
      <c r="T590" s="3">
        <f>Financials[[#This Row],[ Discounts ]]/Financials[[#This Row],[  Sales ]]</f>
        <v/>
      </c>
      <c r="U590">
        <f>Financials[[#This Row],[  Sales ]]/Financials[[#This Row],[ Units_Sold ]]</f>
        <v/>
      </c>
      <c r="V590">
        <f>Financials[[#This Row],[ Profit ]]/Financials[[#This Row],[ Units_Sold ]]</f>
        <v/>
      </c>
      <c r="W590">
        <f>IF(Financials[[#This Row],[ Profit ]]&lt;0,1,0)</f>
        <v/>
      </c>
    </row>
    <row r="591">
      <c r="A591" t="inlineStr">
        <is>
          <t>Midmarket</t>
        </is>
      </c>
      <c r="B591" t="inlineStr">
        <is>
          <t>Canada</t>
        </is>
      </c>
      <c r="C591" t="inlineStr">
        <is>
          <t xml:space="preserve"> Paseo </t>
        </is>
      </c>
      <c r="D591" t="inlineStr">
        <is>
          <t xml:space="preserve"> High </t>
        </is>
      </c>
      <c r="E591" t="n">
        <v>1565</v>
      </c>
      <c r="F591" s="69" t="n">
        <v>10</v>
      </c>
      <c r="G591" s="69" t="n">
        <v>15</v>
      </c>
      <c r="H591" s="69" t="n">
        <v>23475</v>
      </c>
      <c r="I591" s="5" t="n">
        <v>3051.75</v>
      </c>
      <c r="J591" s="69" t="n">
        <v>20423.25</v>
      </c>
      <c r="K591" s="69" t="n">
        <v>15650</v>
      </c>
      <c r="L591" s="69" t="n">
        <v>4773.25</v>
      </c>
      <c r="M591" s="1" t="n">
        <v>41649</v>
      </c>
      <c r="N591" t="n">
        <v>10</v>
      </c>
      <c r="O591" t="inlineStr">
        <is>
          <t xml:space="preserve"> October </t>
        </is>
      </c>
      <c r="P591" t="n">
        <v>2014</v>
      </c>
      <c r="Q591">
        <f>IF(Financials[[#This Row],[ Units_Sold ]]&lt;&gt;INT(Financials[[#This Row],[ Units_Sold ]]),1,0)</f>
        <v/>
      </c>
      <c r="R591" s="10">
        <f>Financials[[#This Row],[ Profit ]]/Financials[[#This Row],[  Sales ]]</f>
        <v/>
      </c>
      <c r="S591" s="2">
        <f>Financials[[#This Row],[ COGS ]]/Financials[[#This Row],[  Sales ]]</f>
        <v/>
      </c>
      <c r="T591" s="3">
        <f>Financials[[#This Row],[ Discounts ]]/Financials[[#This Row],[  Sales ]]</f>
        <v/>
      </c>
      <c r="U591">
        <f>Financials[[#This Row],[  Sales ]]/Financials[[#This Row],[ Units_Sold ]]</f>
        <v/>
      </c>
      <c r="V591">
        <f>Financials[[#This Row],[ Profit ]]/Financials[[#This Row],[ Units_Sold ]]</f>
        <v/>
      </c>
      <c r="W591">
        <f>IF(Financials[[#This Row],[ Profit ]]&lt;0,1,0)</f>
        <v/>
      </c>
    </row>
    <row r="592">
      <c r="A592" t="inlineStr">
        <is>
          <t>Government</t>
        </is>
      </c>
      <c r="B592" t="inlineStr">
        <is>
          <t>Canada</t>
        </is>
      </c>
      <c r="C592" t="inlineStr">
        <is>
          <t xml:space="preserve"> Paseo </t>
        </is>
      </c>
      <c r="D592" t="inlineStr">
        <is>
          <t xml:space="preserve"> High </t>
        </is>
      </c>
      <c r="E592" t="n">
        <v>1249</v>
      </c>
      <c r="F592" s="69" t="n">
        <v>10</v>
      </c>
      <c r="G592" s="69" t="n">
        <v>20</v>
      </c>
      <c r="H592" s="69" t="n">
        <v>24980</v>
      </c>
      <c r="I592" s="5" t="n">
        <v>3247.4</v>
      </c>
      <c r="J592" s="69" t="n">
        <v>21732.6</v>
      </c>
      <c r="K592" s="69" t="n">
        <v>12490</v>
      </c>
      <c r="L592" s="69" t="n">
        <v>9242.6</v>
      </c>
      <c r="M592" s="1" t="n">
        <v>41649</v>
      </c>
      <c r="N592" t="n">
        <v>10</v>
      </c>
      <c r="O592" t="inlineStr">
        <is>
          <t xml:space="preserve"> October </t>
        </is>
      </c>
      <c r="P592" t="n">
        <v>2014</v>
      </c>
      <c r="Q592">
        <f>IF(Financials[[#This Row],[ Units_Sold ]]&lt;&gt;INT(Financials[[#This Row],[ Units_Sold ]]),1,0)</f>
        <v/>
      </c>
      <c r="R592" s="10">
        <f>Financials[[#This Row],[ Profit ]]/Financials[[#This Row],[  Sales ]]</f>
        <v/>
      </c>
      <c r="S592" s="2">
        <f>Financials[[#This Row],[ COGS ]]/Financials[[#This Row],[  Sales ]]</f>
        <v/>
      </c>
      <c r="T592" s="3">
        <f>Financials[[#This Row],[ Discounts ]]/Financials[[#This Row],[  Sales ]]</f>
        <v/>
      </c>
      <c r="U592">
        <f>Financials[[#This Row],[  Sales ]]/Financials[[#This Row],[ Units_Sold ]]</f>
        <v/>
      </c>
      <c r="V592">
        <f>Financials[[#This Row],[ Profit ]]/Financials[[#This Row],[ Units_Sold ]]</f>
        <v/>
      </c>
      <c r="W592">
        <f>IF(Financials[[#This Row],[ Profit ]]&lt;0,1,0)</f>
        <v/>
      </c>
    </row>
    <row r="593">
      <c r="A593" t="inlineStr">
        <is>
          <t>Government</t>
        </is>
      </c>
      <c r="B593" t="inlineStr">
        <is>
          <t>Germany</t>
        </is>
      </c>
      <c r="C593" t="inlineStr">
        <is>
          <t xml:space="preserve"> Paseo </t>
        </is>
      </c>
      <c r="D593" t="inlineStr">
        <is>
          <t xml:space="preserve"> High </t>
        </is>
      </c>
      <c r="E593" t="n">
        <v>357</v>
      </c>
      <c r="F593" s="69" t="n">
        <v>10</v>
      </c>
      <c r="G593" s="69" t="n">
        <v>350</v>
      </c>
      <c r="H593" s="69" t="n">
        <v>124950</v>
      </c>
      <c r="I593" s="5" t="n">
        <v>16243.5</v>
      </c>
      <c r="J593" s="69" t="n">
        <v>108706.5</v>
      </c>
      <c r="K593" s="69" t="n">
        <v>92820</v>
      </c>
      <c r="L593" s="69" t="n">
        <v>15886.5</v>
      </c>
      <c r="M593" s="1" t="n">
        <v>41650</v>
      </c>
      <c r="N593" t="n">
        <v>11</v>
      </c>
      <c r="O593" t="inlineStr">
        <is>
          <t xml:space="preserve"> November </t>
        </is>
      </c>
      <c r="P593" t="n">
        <v>2014</v>
      </c>
      <c r="Q593">
        <f>IF(Financials[[#This Row],[ Units_Sold ]]&lt;&gt;INT(Financials[[#This Row],[ Units_Sold ]]),1,0)</f>
        <v/>
      </c>
      <c r="R593" s="10">
        <f>Financials[[#This Row],[ Profit ]]/Financials[[#This Row],[  Sales ]]</f>
        <v/>
      </c>
      <c r="S593" s="2">
        <f>Financials[[#This Row],[ COGS ]]/Financials[[#This Row],[  Sales ]]</f>
        <v/>
      </c>
      <c r="T593" s="3">
        <f>Financials[[#This Row],[ Discounts ]]/Financials[[#This Row],[  Sales ]]</f>
        <v/>
      </c>
      <c r="U593">
        <f>Financials[[#This Row],[  Sales ]]/Financials[[#This Row],[ Units_Sold ]]</f>
        <v/>
      </c>
      <c r="V593">
        <f>Financials[[#This Row],[ Profit ]]/Financials[[#This Row],[ Units_Sold ]]</f>
        <v/>
      </c>
      <c r="W593">
        <f>IF(Financials[[#This Row],[ Profit ]]&lt;0,1,0)</f>
        <v/>
      </c>
    </row>
    <row r="594">
      <c r="A594" t="inlineStr">
        <is>
          <t>Channel Partners</t>
        </is>
      </c>
      <c r="B594" t="inlineStr">
        <is>
          <t>Germany</t>
        </is>
      </c>
      <c r="C594" t="inlineStr">
        <is>
          <t xml:space="preserve"> Paseo </t>
        </is>
      </c>
      <c r="D594" t="inlineStr">
        <is>
          <t xml:space="preserve"> High </t>
        </is>
      </c>
      <c r="E594" t="n">
        <v>1013</v>
      </c>
      <c r="F594" s="69" t="n">
        <v>10</v>
      </c>
      <c r="G594" s="69" t="n">
        <v>12</v>
      </c>
      <c r="H594" s="69" t="n">
        <v>12156</v>
      </c>
      <c r="I594" s="5" t="n">
        <v>1580.28</v>
      </c>
      <c r="J594" s="69" t="n">
        <v>10575.72</v>
      </c>
      <c r="K594" s="69" t="n">
        <v>3039</v>
      </c>
      <c r="L594" s="69" t="n">
        <v>7536.72</v>
      </c>
      <c r="M594" s="1" t="n">
        <v>41651</v>
      </c>
      <c r="N594" t="n">
        <v>12</v>
      </c>
      <c r="O594" t="inlineStr">
        <is>
          <t xml:space="preserve"> December </t>
        </is>
      </c>
      <c r="P594" t="n">
        <v>2014</v>
      </c>
      <c r="Q594">
        <f>IF(Financials[[#This Row],[ Units_Sold ]]&lt;&gt;INT(Financials[[#This Row],[ Units_Sold ]]),1,0)</f>
        <v/>
      </c>
      <c r="R594" s="10">
        <f>Financials[[#This Row],[ Profit ]]/Financials[[#This Row],[  Sales ]]</f>
        <v/>
      </c>
      <c r="S594" s="2">
        <f>Financials[[#This Row],[ COGS ]]/Financials[[#This Row],[  Sales ]]</f>
        <v/>
      </c>
      <c r="T594" s="3">
        <f>Financials[[#This Row],[ Discounts ]]/Financials[[#This Row],[  Sales ]]</f>
        <v/>
      </c>
      <c r="U594">
        <f>Financials[[#This Row],[  Sales ]]/Financials[[#This Row],[ Units_Sold ]]</f>
        <v/>
      </c>
      <c r="V594">
        <f>Financials[[#This Row],[ Profit ]]/Financials[[#This Row],[ Units_Sold ]]</f>
        <v/>
      </c>
      <c r="W594">
        <f>IF(Financials[[#This Row],[ Profit ]]&lt;0,1,0)</f>
        <v/>
      </c>
    </row>
    <row r="595">
      <c r="A595" t="inlineStr">
        <is>
          <t>Midmarket</t>
        </is>
      </c>
      <c r="B595" t="inlineStr">
        <is>
          <t>France</t>
        </is>
      </c>
      <c r="C595" t="inlineStr">
        <is>
          <t xml:space="preserve"> Velo </t>
        </is>
      </c>
      <c r="D595" t="inlineStr">
        <is>
          <t xml:space="preserve"> High </t>
        </is>
      </c>
      <c r="E595" t="n">
        <v>3997.5</v>
      </c>
      <c r="F595" s="69" t="n">
        <v>120</v>
      </c>
      <c r="G595" s="69" t="n">
        <v>15</v>
      </c>
      <c r="H595" s="69" t="n">
        <v>59962.5</v>
      </c>
      <c r="I595" s="5" t="n">
        <v>7795.13</v>
      </c>
      <c r="J595" s="69" t="n">
        <v>52167.38</v>
      </c>
      <c r="K595" s="69" t="n">
        <v>39975</v>
      </c>
      <c r="L595" s="69" t="n">
        <v>12192.38</v>
      </c>
      <c r="M595" s="1" t="n">
        <v>41640</v>
      </c>
      <c r="N595" t="n">
        <v>1</v>
      </c>
      <c r="O595" t="inlineStr">
        <is>
          <t xml:space="preserve"> January </t>
        </is>
      </c>
      <c r="P595" t="n">
        <v>2014</v>
      </c>
      <c r="Q595">
        <f>IF(Financials[[#This Row],[ Units_Sold ]]&lt;&gt;INT(Financials[[#This Row],[ Units_Sold ]]),1,0)</f>
        <v/>
      </c>
      <c r="R595" s="10">
        <f>Financials[[#This Row],[ Profit ]]/Financials[[#This Row],[  Sales ]]</f>
        <v/>
      </c>
      <c r="S595" s="2">
        <f>Financials[[#This Row],[ COGS ]]/Financials[[#This Row],[  Sales ]]</f>
        <v/>
      </c>
      <c r="T595" s="3">
        <f>Financials[[#This Row],[ Discounts ]]/Financials[[#This Row],[  Sales ]]</f>
        <v/>
      </c>
      <c r="U595">
        <f>Financials[[#This Row],[  Sales ]]/Financials[[#This Row],[ Units_Sold ]]</f>
        <v/>
      </c>
      <c r="V595">
        <f>Financials[[#This Row],[ Profit ]]/Financials[[#This Row],[ Units_Sold ]]</f>
        <v/>
      </c>
      <c r="W595">
        <f>IF(Financials[[#This Row],[ Profit ]]&lt;0,1,0)</f>
        <v/>
      </c>
    </row>
    <row r="596">
      <c r="A596" t="inlineStr">
        <is>
          <t>Government</t>
        </is>
      </c>
      <c r="B596" t="inlineStr">
        <is>
          <t>Canada</t>
        </is>
      </c>
      <c r="C596" t="inlineStr">
        <is>
          <t xml:space="preserve"> Velo </t>
        </is>
      </c>
      <c r="D596" t="inlineStr">
        <is>
          <t xml:space="preserve"> High </t>
        </is>
      </c>
      <c r="E596" t="n">
        <v>2632</v>
      </c>
      <c r="F596" s="69" t="n">
        <v>120</v>
      </c>
      <c r="G596" s="69" t="n">
        <v>350</v>
      </c>
      <c r="H596" s="69" t="n">
        <v>921200</v>
      </c>
      <c r="I596" s="5" t="n">
        <v>119756</v>
      </c>
      <c r="J596" s="69" t="n">
        <v>801444</v>
      </c>
      <c r="K596" s="69" t="n">
        <v>684320</v>
      </c>
      <c r="L596" s="69" t="n">
        <v>117124</v>
      </c>
      <c r="M596" s="1" t="n">
        <v>41645</v>
      </c>
      <c r="N596" t="n">
        <v>6</v>
      </c>
      <c r="O596" t="inlineStr">
        <is>
          <t xml:space="preserve"> June </t>
        </is>
      </c>
      <c r="P596" t="n">
        <v>2014</v>
      </c>
      <c r="Q596">
        <f>IF(Financials[[#This Row],[ Units_Sold ]]&lt;&gt;INT(Financials[[#This Row],[ Units_Sold ]]),1,0)</f>
        <v/>
      </c>
      <c r="R596" s="10">
        <f>Financials[[#This Row],[ Profit ]]/Financials[[#This Row],[  Sales ]]</f>
        <v/>
      </c>
      <c r="S596" s="2">
        <f>Financials[[#This Row],[ COGS ]]/Financials[[#This Row],[  Sales ]]</f>
        <v/>
      </c>
      <c r="T596" s="3">
        <f>Financials[[#This Row],[ Discounts ]]/Financials[[#This Row],[  Sales ]]</f>
        <v/>
      </c>
      <c r="U596">
        <f>Financials[[#This Row],[  Sales ]]/Financials[[#This Row],[ Units_Sold ]]</f>
        <v/>
      </c>
      <c r="V596">
        <f>Financials[[#This Row],[ Profit ]]/Financials[[#This Row],[ Units_Sold ]]</f>
        <v/>
      </c>
      <c r="W596">
        <f>IF(Financials[[#This Row],[ Profit ]]&lt;0,1,0)</f>
        <v/>
      </c>
    </row>
    <row r="597">
      <c r="A597" t="inlineStr">
        <is>
          <t>Government</t>
        </is>
      </c>
      <c r="B597" t="inlineStr">
        <is>
          <t>France</t>
        </is>
      </c>
      <c r="C597" t="inlineStr">
        <is>
          <t xml:space="preserve"> Velo </t>
        </is>
      </c>
      <c r="D597" t="inlineStr">
        <is>
          <t xml:space="preserve"> High </t>
        </is>
      </c>
      <c r="E597" t="n">
        <v>1190</v>
      </c>
      <c r="F597" s="69" t="n">
        <v>120</v>
      </c>
      <c r="G597" s="69" t="n">
        <v>7</v>
      </c>
      <c r="H597" s="69" t="n">
        <v>8330</v>
      </c>
      <c r="I597" s="5" t="n">
        <v>1082.9</v>
      </c>
      <c r="J597" s="69" t="n">
        <v>7247.1</v>
      </c>
      <c r="K597" s="69" t="n">
        <v>5950</v>
      </c>
      <c r="L597" s="69" t="n">
        <v>1297.1</v>
      </c>
      <c r="M597" s="1" t="n">
        <v>41645</v>
      </c>
      <c r="N597" t="n">
        <v>6</v>
      </c>
      <c r="O597" t="inlineStr">
        <is>
          <t xml:space="preserve"> June </t>
        </is>
      </c>
      <c r="P597" t="n">
        <v>2014</v>
      </c>
      <c r="Q597">
        <f>IF(Financials[[#This Row],[ Units_Sold ]]&lt;&gt;INT(Financials[[#This Row],[ Units_Sold ]]),1,0)</f>
        <v/>
      </c>
      <c r="R597" s="10">
        <f>Financials[[#This Row],[ Profit ]]/Financials[[#This Row],[  Sales ]]</f>
        <v/>
      </c>
      <c r="S597" s="2">
        <f>Financials[[#This Row],[ COGS ]]/Financials[[#This Row],[  Sales ]]</f>
        <v/>
      </c>
      <c r="T597" s="3">
        <f>Financials[[#This Row],[ Discounts ]]/Financials[[#This Row],[  Sales ]]</f>
        <v/>
      </c>
      <c r="U597">
        <f>Financials[[#This Row],[  Sales ]]/Financials[[#This Row],[ Units_Sold ]]</f>
        <v/>
      </c>
      <c r="V597">
        <f>Financials[[#This Row],[ Profit ]]/Financials[[#This Row],[ Units_Sold ]]</f>
        <v/>
      </c>
      <c r="W597">
        <f>IF(Financials[[#This Row],[ Profit ]]&lt;0,1,0)</f>
        <v/>
      </c>
    </row>
    <row r="598">
      <c r="A598" t="inlineStr">
        <is>
          <t>Channel Partners</t>
        </is>
      </c>
      <c r="B598" t="inlineStr">
        <is>
          <t>Mexico</t>
        </is>
      </c>
      <c r="C598" t="inlineStr">
        <is>
          <t xml:space="preserve"> Velo </t>
        </is>
      </c>
      <c r="D598" t="inlineStr">
        <is>
          <t xml:space="preserve"> High </t>
        </is>
      </c>
      <c r="E598" t="n">
        <v>604</v>
      </c>
      <c r="F598" s="69" t="n">
        <v>120</v>
      </c>
      <c r="G598" s="69" t="n">
        <v>12</v>
      </c>
      <c r="H598" s="69" t="n">
        <v>7248</v>
      </c>
      <c r="I598" s="5" t="n">
        <v>942.24</v>
      </c>
      <c r="J598" s="69" t="n">
        <v>6305.76</v>
      </c>
      <c r="K598" s="69" t="n">
        <v>1812</v>
      </c>
      <c r="L598" s="69" t="n">
        <v>4493.76</v>
      </c>
      <c r="M598" s="1" t="n">
        <v>41645</v>
      </c>
      <c r="N598" t="n">
        <v>6</v>
      </c>
      <c r="O598" t="inlineStr">
        <is>
          <t xml:space="preserve"> June </t>
        </is>
      </c>
      <c r="P598" t="n">
        <v>2014</v>
      </c>
      <c r="Q598">
        <f>IF(Financials[[#This Row],[ Units_Sold ]]&lt;&gt;INT(Financials[[#This Row],[ Units_Sold ]]),1,0)</f>
        <v/>
      </c>
      <c r="R598" s="10">
        <f>Financials[[#This Row],[ Profit ]]/Financials[[#This Row],[  Sales ]]</f>
        <v/>
      </c>
      <c r="S598" s="2">
        <f>Financials[[#This Row],[ COGS ]]/Financials[[#This Row],[  Sales ]]</f>
        <v/>
      </c>
      <c r="T598" s="3">
        <f>Financials[[#This Row],[ Discounts ]]/Financials[[#This Row],[  Sales ]]</f>
        <v/>
      </c>
      <c r="U598">
        <f>Financials[[#This Row],[  Sales ]]/Financials[[#This Row],[ Units_Sold ]]</f>
        <v/>
      </c>
      <c r="V598">
        <f>Financials[[#This Row],[ Profit ]]/Financials[[#This Row],[ Units_Sold ]]</f>
        <v/>
      </c>
      <c r="W598">
        <f>IF(Financials[[#This Row],[ Profit ]]&lt;0,1,0)</f>
        <v/>
      </c>
    </row>
    <row r="599">
      <c r="A599" t="inlineStr">
        <is>
          <t>Midmarket</t>
        </is>
      </c>
      <c r="B599" t="inlineStr">
        <is>
          <t>Germany</t>
        </is>
      </c>
      <c r="C599" t="inlineStr">
        <is>
          <t xml:space="preserve"> Velo </t>
        </is>
      </c>
      <c r="D599" t="inlineStr">
        <is>
          <t xml:space="preserve"> High </t>
        </is>
      </c>
      <c r="E599" t="n">
        <v>660</v>
      </c>
      <c r="F599" s="69" t="n">
        <v>120</v>
      </c>
      <c r="G599" s="69" t="n">
        <v>15</v>
      </c>
      <c r="H599" s="69" t="n">
        <v>9900</v>
      </c>
      <c r="I599" s="5" t="n">
        <v>1287</v>
      </c>
      <c r="J599" s="69" t="n">
        <v>8613</v>
      </c>
      <c r="K599" s="69" t="n">
        <v>6600</v>
      </c>
      <c r="L599" s="69" t="n">
        <v>2013</v>
      </c>
      <c r="M599" s="1" t="n">
        <v>41283</v>
      </c>
      <c r="N599" t="n">
        <v>9</v>
      </c>
      <c r="O599" t="inlineStr">
        <is>
          <t xml:space="preserve"> September </t>
        </is>
      </c>
      <c r="P599" t="n">
        <v>2013</v>
      </c>
      <c r="Q599">
        <f>IF(Financials[[#This Row],[ Units_Sold ]]&lt;&gt;INT(Financials[[#This Row],[ Units_Sold ]]),1,0)</f>
        <v/>
      </c>
      <c r="R599" s="10">
        <f>Financials[[#This Row],[ Profit ]]/Financials[[#This Row],[  Sales ]]</f>
        <v/>
      </c>
      <c r="S599" s="2">
        <f>Financials[[#This Row],[ COGS ]]/Financials[[#This Row],[  Sales ]]</f>
        <v/>
      </c>
      <c r="T599" s="3">
        <f>Financials[[#This Row],[ Discounts ]]/Financials[[#This Row],[  Sales ]]</f>
        <v/>
      </c>
      <c r="U599">
        <f>Financials[[#This Row],[  Sales ]]/Financials[[#This Row],[ Units_Sold ]]</f>
        <v/>
      </c>
      <c r="V599">
        <f>Financials[[#This Row],[ Profit ]]/Financials[[#This Row],[ Units_Sold ]]</f>
        <v/>
      </c>
      <c r="W599">
        <f>IF(Financials[[#This Row],[ Profit ]]&lt;0,1,0)</f>
        <v/>
      </c>
    </row>
    <row r="600">
      <c r="A600" t="inlineStr">
        <is>
          <t>Channel Partners</t>
        </is>
      </c>
      <c r="B600" t="inlineStr">
        <is>
          <t>Mexico</t>
        </is>
      </c>
      <c r="C600" t="inlineStr">
        <is>
          <t xml:space="preserve"> Velo </t>
        </is>
      </c>
      <c r="D600" t="inlineStr">
        <is>
          <t xml:space="preserve"> High </t>
        </is>
      </c>
      <c r="E600" t="n">
        <v>410</v>
      </c>
      <c r="F600" s="69" t="n">
        <v>120</v>
      </c>
      <c r="G600" s="69" t="n">
        <v>12</v>
      </c>
      <c r="H600" s="69" t="n">
        <v>4920</v>
      </c>
      <c r="I600" s="5" t="n">
        <v>639.6</v>
      </c>
      <c r="J600" s="69" t="n">
        <v>4280.4</v>
      </c>
      <c r="K600" s="69" t="n">
        <v>1230</v>
      </c>
      <c r="L600" s="69" t="n">
        <v>3050.4</v>
      </c>
      <c r="M600" s="1" t="n">
        <v>41649</v>
      </c>
      <c r="N600" t="n">
        <v>10</v>
      </c>
      <c r="O600" t="inlineStr">
        <is>
          <t xml:space="preserve"> October </t>
        </is>
      </c>
      <c r="P600" t="n">
        <v>2014</v>
      </c>
      <c r="Q600">
        <f>IF(Financials[[#This Row],[ Units_Sold ]]&lt;&gt;INT(Financials[[#This Row],[ Units_Sold ]]),1,0)</f>
        <v/>
      </c>
      <c r="R600" s="10">
        <f>Financials[[#This Row],[ Profit ]]/Financials[[#This Row],[  Sales ]]</f>
        <v/>
      </c>
      <c r="S600" s="2">
        <f>Financials[[#This Row],[ COGS ]]/Financials[[#This Row],[  Sales ]]</f>
        <v/>
      </c>
      <c r="T600" s="3">
        <f>Financials[[#This Row],[ Discounts ]]/Financials[[#This Row],[  Sales ]]</f>
        <v/>
      </c>
      <c r="U600">
        <f>Financials[[#This Row],[  Sales ]]/Financials[[#This Row],[ Units_Sold ]]</f>
        <v/>
      </c>
      <c r="V600">
        <f>Financials[[#This Row],[ Profit ]]/Financials[[#This Row],[ Units_Sold ]]</f>
        <v/>
      </c>
      <c r="W600">
        <f>IF(Financials[[#This Row],[ Profit ]]&lt;0,1,0)</f>
        <v/>
      </c>
    </row>
    <row r="601">
      <c r="A601" t="inlineStr">
        <is>
          <t>Small Business</t>
        </is>
      </c>
      <c r="B601" t="inlineStr">
        <is>
          <t>Mexico</t>
        </is>
      </c>
      <c r="C601" t="inlineStr">
        <is>
          <t xml:space="preserve"> Velo </t>
        </is>
      </c>
      <c r="D601" t="inlineStr">
        <is>
          <t xml:space="preserve"> High </t>
        </is>
      </c>
      <c r="E601" t="n">
        <v>2605</v>
      </c>
      <c r="F601" s="69" t="n">
        <v>120</v>
      </c>
      <c r="G601" s="69" t="n">
        <v>300</v>
      </c>
      <c r="H601" s="69" t="n">
        <v>781500</v>
      </c>
      <c r="I601" s="5" t="n">
        <v>101595</v>
      </c>
      <c r="J601" s="69" t="n">
        <v>679905</v>
      </c>
      <c r="K601" s="69" t="n">
        <v>651250</v>
      </c>
      <c r="L601" s="69" t="n">
        <v>28655</v>
      </c>
      <c r="M601" s="1" t="n">
        <v>41285</v>
      </c>
      <c r="N601" t="n">
        <v>11</v>
      </c>
      <c r="O601" t="inlineStr">
        <is>
          <t xml:space="preserve"> November </t>
        </is>
      </c>
      <c r="P601" t="n">
        <v>2013</v>
      </c>
      <c r="Q601">
        <f>IF(Financials[[#This Row],[ Units_Sold ]]&lt;&gt;INT(Financials[[#This Row],[ Units_Sold ]]),1,0)</f>
        <v/>
      </c>
      <c r="R601" s="10">
        <f>Financials[[#This Row],[ Profit ]]/Financials[[#This Row],[  Sales ]]</f>
        <v/>
      </c>
      <c r="S601" s="2">
        <f>Financials[[#This Row],[ COGS ]]/Financials[[#This Row],[  Sales ]]</f>
        <v/>
      </c>
      <c r="T601" s="3">
        <f>Financials[[#This Row],[ Discounts ]]/Financials[[#This Row],[  Sales ]]</f>
        <v/>
      </c>
      <c r="U601">
        <f>Financials[[#This Row],[  Sales ]]/Financials[[#This Row],[ Units_Sold ]]</f>
        <v/>
      </c>
      <c r="V601">
        <f>Financials[[#This Row],[ Profit ]]/Financials[[#This Row],[ Units_Sold ]]</f>
        <v/>
      </c>
      <c r="W601">
        <f>IF(Financials[[#This Row],[ Profit ]]&lt;0,1,0)</f>
        <v/>
      </c>
    </row>
    <row r="602">
      <c r="A602" t="inlineStr">
        <is>
          <t>Channel Partners</t>
        </is>
      </c>
      <c r="B602" t="inlineStr">
        <is>
          <t>Germany</t>
        </is>
      </c>
      <c r="C602" t="inlineStr">
        <is>
          <t xml:space="preserve"> Velo </t>
        </is>
      </c>
      <c r="D602" t="inlineStr">
        <is>
          <t xml:space="preserve"> High </t>
        </is>
      </c>
      <c r="E602" t="n">
        <v>1013</v>
      </c>
      <c r="F602" s="69" t="n">
        <v>120</v>
      </c>
      <c r="G602" s="69" t="n">
        <v>12</v>
      </c>
      <c r="H602" s="69" t="n">
        <v>12156</v>
      </c>
      <c r="I602" s="5" t="n">
        <v>1580.28</v>
      </c>
      <c r="J602" s="69" t="n">
        <v>10575.72</v>
      </c>
      <c r="K602" s="69" t="n">
        <v>3039</v>
      </c>
      <c r="L602" s="69" t="n">
        <v>7536.72</v>
      </c>
      <c r="M602" s="1" t="n">
        <v>41651</v>
      </c>
      <c r="N602" t="n">
        <v>12</v>
      </c>
      <c r="O602" t="inlineStr">
        <is>
          <t xml:space="preserve"> December </t>
        </is>
      </c>
      <c r="P602" t="n">
        <v>2014</v>
      </c>
      <c r="Q602">
        <f>IF(Financials[[#This Row],[ Units_Sold ]]&lt;&gt;INT(Financials[[#This Row],[ Units_Sold ]]),1,0)</f>
        <v/>
      </c>
      <c r="R602" s="10">
        <f>Financials[[#This Row],[ Profit ]]/Financials[[#This Row],[  Sales ]]</f>
        <v/>
      </c>
      <c r="S602" s="2">
        <f>Financials[[#This Row],[ COGS ]]/Financials[[#This Row],[  Sales ]]</f>
        <v/>
      </c>
      <c r="T602" s="3">
        <f>Financials[[#This Row],[ Discounts ]]/Financials[[#This Row],[  Sales ]]</f>
        <v/>
      </c>
      <c r="U602">
        <f>Financials[[#This Row],[  Sales ]]/Financials[[#This Row],[ Units_Sold ]]</f>
        <v/>
      </c>
      <c r="V602">
        <f>Financials[[#This Row],[ Profit ]]/Financials[[#This Row],[ Units_Sold ]]</f>
        <v/>
      </c>
      <c r="W602">
        <f>IF(Financials[[#This Row],[ Profit ]]&lt;0,1,0)</f>
        <v/>
      </c>
    </row>
    <row r="603">
      <c r="A603" t="inlineStr">
        <is>
          <t>Enterprise</t>
        </is>
      </c>
      <c r="B603" t="inlineStr">
        <is>
          <t>Canada</t>
        </is>
      </c>
      <c r="C603" t="inlineStr">
        <is>
          <t xml:space="preserve"> VTT </t>
        </is>
      </c>
      <c r="D603" t="inlineStr">
        <is>
          <t xml:space="preserve"> High </t>
        </is>
      </c>
      <c r="E603" t="n">
        <v>1583</v>
      </c>
      <c r="F603" s="69" t="n">
        <v>250</v>
      </c>
      <c r="G603" s="69" t="n">
        <v>125</v>
      </c>
      <c r="H603" s="69" t="n">
        <v>197875</v>
      </c>
      <c r="I603" s="5" t="n">
        <v>25723.75</v>
      </c>
      <c r="J603" s="69" t="n">
        <v>172151.25</v>
      </c>
      <c r="K603" s="69" t="n">
        <v>189960</v>
      </c>
      <c r="L603" s="69" t="n">
        <v>-17808.75</v>
      </c>
      <c r="M603" s="1" t="n">
        <v>41645</v>
      </c>
      <c r="N603" t="n">
        <v>6</v>
      </c>
      <c r="O603" t="inlineStr">
        <is>
          <t xml:space="preserve"> June </t>
        </is>
      </c>
      <c r="P603" t="n">
        <v>2014</v>
      </c>
      <c r="Q603">
        <f>IF(Financials[[#This Row],[ Units_Sold ]]&lt;&gt;INT(Financials[[#This Row],[ Units_Sold ]]),1,0)</f>
        <v/>
      </c>
      <c r="R603" s="10">
        <f>Financials[[#This Row],[ Profit ]]/Financials[[#This Row],[  Sales ]]</f>
        <v/>
      </c>
      <c r="S603" s="2">
        <f>Financials[[#This Row],[ COGS ]]/Financials[[#This Row],[  Sales ]]</f>
        <v/>
      </c>
      <c r="T603" s="3">
        <f>Financials[[#This Row],[ Discounts ]]/Financials[[#This Row],[  Sales ]]</f>
        <v/>
      </c>
      <c r="U603">
        <f>Financials[[#This Row],[  Sales ]]/Financials[[#This Row],[ Units_Sold ]]</f>
        <v/>
      </c>
      <c r="V603">
        <f>Financials[[#This Row],[ Profit ]]/Financials[[#This Row],[ Units_Sold ]]</f>
        <v/>
      </c>
      <c r="W603">
        <f>IF(Financials[[#This Row],[ Profit ]]&lt;0,1,0)</f>
        <v/>
      </c>
    </row>
    <row r="604">
      <c r="A604" t="inlineStr">
        <is>
          <t>Midmarket</t>
        </is>
      </c>
      <c r="B604" t="inlineStr">
        <is>
          <t>Canada</t>
        </is>
      </c>
      <c r="C604" t="inlineStr">
        <is>
          <t xml:space="preserve"> VTT </t>
        </is>
      </c>
      <c r="D604" t="inlineStr">
        <is>
          <t xml:space="preserve"> High </t>
        </is>
      </c>
      <c r="E604" t="n">
        <v>1565</v>
      </c>
      <c r="F604" s="69" t="n">
        <v>250</v>
      </c>
      <c r="G604" s="69" t="n">
        <v>15</v>
      </c>
      <c r="H604" s="69" t="n">
        <v>23475</v>
      </c>
      <c r="I604" s="5" t="n">
        <v>3051.75</v>
      </c>
      <c r="J604" s="69" t="n">
        <v>20423.25</v>
      </c>
      <c r="K604" s="69" t="n">
        <v>15650</v>
      </c>
      <c r="L604" s="69" t="n">
        <v>4773.25</v>
      </c>
      <c r="M604" s="1" t="n">
        <v>41649</v>
      </c>
      <c r="N604" t="n">
        <v>10</v>
      </c>
      <c r="O604" t="inlineStr">
        <is>
          <t xml:space="preserve"> October </t>
        </is>
      </c>
      <c r="P604" t="n">
        <v>2014</v>
      </c>
      <c r="Q604">
        <f>IF(Financials[[#This Row],[ Units_Sold ]]&lt;&gt;INT(Financials[[#This Row],[ Units_Sold ]]),1,0)</f>
        <v/>
      </c>
      <c r="R604" s="10">
        <f>Financials[[#This Row],[ Profit ]]/Financials[[#This Row],[  Sales ]]</f>
        <v/>
      </c>
      <c r="S604" s="2">
        <f>Financials[[#This Row],[ COGS ]]/Financials[[#This Row],[  Sales ]]</f>
        <v/>
      </c>
      <c r="T604" s="3">
        <f>Financials[[#This Row],[ Discounts ]]/Financials[[#This Row],[  Sales ]]</f>
        <v/>
      </c>
      <c r="U604">
        <f>Financials[[#This Row],[  Sales ]]/Financials[[#This Row],[ Units_Sold ]]</f>
        <v/>
      </c>
      <c r="V604">
        <f>Financials[[#This Row],[ Profit ]]/Financials[[#This Row],[ Units_Sold ]]</f>
        <v/>
      </c>
      <c r="W604">
        <f>IF(Financials[[#This Row],[ Profit ]]&lt;0,1,0)</f>
        <v/>
      </c>
    </row>
    <row r="605">
      <c r="A605" t="inlineStr">
        <is>
          <t>Enterprise</t>
        </is>
      </c>
      <c r="B605" t="inlineStr">
        <is>
          <t>Canada</t>
        </is>
      </c>
      <c r="C605" t="inlineStr">
        <is>
          <t xml:space="preserve"> Amarilla </t>
        </is>
      </c>
      <c r="D605" t="inlineStr">
        <is>
          <t xml:space="preserve"> High </t>
        </is>
      </c>
      <c r="E605" t="n">
        <v>1659</v>
      </c>
      <c r="F605" s="69" t="n">
        <v>260</v>
      </c>
      <c r="G605" s="69" t="n">
        <v>125</v>
      </c>
      <c r="H605" s="69" t="n">
        <v>207375</v>
      </c>
      <c r="I605" s="5" t="n">
        <v>26958.75</v>
      </c>
      <c r="J605" s="69" t="n">
        <v>180416.25</v>
      </c>
      <c r="K605" s="69" t="n">
        <v>199080</v>
      </c>
      <c r="L605" s="69" t="n">
        <v>-18663.75</v>
      </c>
      <c r="M605" s="1" t="n">
        <v>41640</v>
      </c>
      <c r="N605" t="n">
        <v>1</v>
      </c>
      <c r="O605" t="inlineStr">
        <is>
          <t xml:space="preserve"> January </t>
        </is>
      </c>
      <c r="P605" t="n">
        <v>2014</v>
      </c>
      <c r="Q605">
        <f>IF(Financials[[#This Row],[ Units_Sold ]]&lt;&gt;INT(Financials[[#This Row],[ Units_Sold ]]),1,0)</f>
        <v/>
      </c>
      <c r="R605" s="10">
        <f>Financials[[#This Row],[ Profit ]]/Financials[[#This Row],[  Sales ]]</f>
        <v/>
      </c>
      <c r="S605" s="2">
        <f>Financials[[#This Row],[ COGS ]]/Financials[[#This Row],[  Sales ]]</f>
        <v/>
      </c>
      <c r="T605" s="3">
        <f>Financials[[#This Row],[ Discounts ]]/Financials[[#This Row],[  Sales ]]</f>
        <v/>
      </c>
      <c r="U605">
        <f>Financials[[#This Row],[  Sales ]]/Financials[[#This Row],[ Units_Sold ]]</f>
        <v/>
      </c>
      <c r="V605">
        <f>Financials[[#This Row],[ Profit ]]/Financials[[#This Row],[ Units_Sold ]]</f>
        <v/>
      </c>
      <c r="W605">
        <f>IF(Financials[[#This Row],[ Profit ]]&lt;0,1,0)</f>
        <v/>
      </c>
    </row>
    <row r="606">
      <c r="A606" t="inlineStr">
        <is>
          <t>Government</t>
        </is>
      </c>
      <c r="B606" t="inlineStr">
        <is>
          <t>France</t>
        </is>
      </c>
      <c r="C606" t="inlineStr">
        <is>
          <t xml:space="preserve"> Amarilla </t>
        </is>
      </c>
      <c r="D606" t="inlineStr">
        <is>
          <t xml:space="preserve"> High </t>
        </is>
      </c>
      <c r="E606" t="n">
        <v>1190</v>
      </c>
      <c r="F606" s="69" t="n">
        <v>260</v>
      </c>
      <c r="G606" s="69" t="n">
        <v>7</v>
      </c>
      <c r="H606" s="69" t="n">
        <v>8330</v>
      </c>
      <c r="I606" s="5" t="n">
        <v>1082.9</v>
      </c>
      <c r="J606" s="69" t="n">
        <v>7247.1</v>
      </c>
      <c r="K606" s="69" t="n">
        <v>5950</v>
      </c>
      <c r="L606" s="69" t="n">
        <v>1297.1</v>
      </c>
      <c r="M606" s="1" t="n">
        <v>41645</v>
      </c>
      <c r="N606" t="n">
        <v>6</v>
      </c>
      <c r="O606" t="inlineStr">
        <is>
          <t xml:space="preserve"> June </t>
        </is>
      </c>
      <c r="P606" t="n">
        <v>2014</v>
      </c>
      <c r="Q606">
        <f>IF(Financials[[#This Row],[ Units_Sold ]]&lt;&gt;INT(Financials[[#This Row],[ Units_Sold ]]),1,0)</f>
        <v/>
      </c>
      <c r="R606" s="10">
        <f>Financials[[#This Row],[ Profit ]]/Financials[[#This Row],[  Sales ]]</f>
        <v/>
      </c>
      <c r="S606" s="2">
        <f>Financials[[#This Row],[ COGS ]]/Financials[[#This Row],[  Sales ]]</f>
        <v/>
      </c>
      <c r="T606" s="3">
        <f>Financials[[#This Row],[ Discounts ]]/Financials[[#This Row],[  Sales ]]</f>
        <v/>
      </c>
      <c r="U606">
        <f>Financials[[#This Row],[  Sales ]]/Financials[[#This Row],[ Units_Sold ]]</f>
        <v/>
      </c>
      <c r="V606">
        <f>Financials[[#This Row],[ Profit ]]/Financials[[#This Row],[ Units_Sold ]]</f>
        <v/>
      </c>
      <c r="W606">
        <f>IF(Financials[[#This Row],[ Profit ]]&lt;0,1,0)</f>
        <v/>
      </c>
    </row>
    <row r="607">
      <c r="A607" t="inlineStr">
        <is>
          <t>Channel Partners</t>
        </is>
      </c>
      <c r="B607" t="inlineStr">
        <is>
          <t>Mexico</t>
        </is>
      </c>
      <c r="C607" t="inlineStr">
        <is>
          <t xml:space="preserve"> Amarilla </t>
        </is>
      </c>
      <c r="D607" t="inlineStr">
        <is>
          <t xml:space="preserve"> High </t>
        </is>
      </c>
      <c r="E607" t="n">
        <v>410</v>
      </c>
      <c r="F607" s="69" t="n">
        <v>260</v>
      </c>
      <c r="G607" s="69" t="n">
        <v>12</v>
      </c>
      <c r="H607" s="69" t="n">
        <v>4920</v>
      </c>
      <c r="I607" s="5" t="n">
        <v>639.6</v>
      </c>
      <c r="J607" s="69" t="n">
        <v>4280.4</v>
      </c>
      <c r="K607" s="69" t="n">
        <v>1230</v>
      </c>
      <c r="L607" s="69" t="n">
        <v>3050.4</v>
      </c>
      <c r="M607" s="1" t="n">
        <v>41649</v>
      </c>
      <c r="N607" t="n">
        <v>10</v>
      </c>
      <c r="O607" t="inlineStr">
        <is>
          <t xml:space="preserve"> October </t>
        </is>
      </c>
      <c r="P607" t="n">
        <v>2014</v>
      </c>
      <c r="Q607">
        <f>IF(Financials[[#This Row],[ Units_Sold ]]&lt;&gt;INT(Financials[[#This Row],[ Units_Sold ]]),1,0)</f>
        <v/>
      </c>
      <c r="R607" s="10">
        <f>Financials[[#This Row],[ Profit ]]/Financials[[#This Row],[  Sales ]]</f>
        <v/>
      </c>
      <c r="S607" s="2">
        <f>Financials[[#This Row],[ COGS ]]/Financials[[#This Row],[  Sales ]]</f>
        <v/>
      </c>
      <c r="T607" s="3">
        <f>Financials[[#This Row],[ Discounts ]]/Financials[[#This Row],[  Sales ]]</f>
        <v/>
      </c>
      <c r="U607">
        <f>Financials[[#This Row],[  Sales ]]/Financials[[#This Row],[ Units_Sold ]]</f>
        <v/>
      </c>
      <c r="V607">
        <f>Financials[[#This Row],[ Profit ]]/Financials[[#This Row],[ Units_Sold ]]</f>
        <v/>
      </c>
      <c r="W607">
        <f>IF(Financials[[#This Row],[ Profit ]]&lt;0,1,0)</f>
        <v/>
      </c>
    </row>
    <row r="608">
      <c r="A608" t="inlineStr">
        <is>
          <t>Channel Partners</t>
        </is>
      </c>
      <c r="B608" t="inlineStr">
        <is>
          <t>Germany</t>
        </is>
      </c>
      <c r="C608" t="inlineStr">
        <is>
          <t xml:space="preserve"> Amarilla </t>
        </is>
      </c>
      <c r="D608" t="inlineStr">
        <is>
          <t xml:space="preserve"> High </t>
        </is>
      </c>
      <c r="E608" t="n">
        <v>1770</v>
      </c>
      <c r="F608" s="69" t="n">
        <v>260</v>
      </c>
      <c r="G608" s="69" t="n">
        <v>12</v>
      </c>
      <c r="H608" s="69" t="n">
        <v>21240</v>
      </c>
      <c r="I608" s="5" t="n">
        <v>2761.2</v>
      </c>
      <c r="J608" s="69" t="n">
        <v>18478.8</v>
      </c>
      <c r="K608" s="69" t="n">
        <v>5310</v>
      </c>
      <c r="L608" s="69" t="n">
        <v>13168.8</v>
      </c>
      <c r="M608" s="1" t="n">
        <v>41286</v>
      </c>
      <c r="N608" t="n">
        <v>12</v>
      </c>
      <c r="O608" t="inlineStr">
        <is>
          <t xml:space="preserve"> December </t>
        </is>
      </c>
      <c r="P608" t="n">
        <v>2013</v>
      </c>
      <c r="Q608">
        <f>IF(Financials[[#This Row],[ Units_Sold ]]&lt;&gt;INT(Financials[[#This Row],[ Units_Sold ]]),1,0)</f>
        <v/>
      </c>
      <c r="R608" s="10">
        <f>Financials[[#This Row],[ Profit ]]/Financials[[#This Row],[  Sales ]]</f>
        <v/>
      </c>
      <c r="S608" s="2">
        <f>Financials[[#This Row],[ COGS ]]/Financials[[#This Row],[  Sales ]]</f>
        <v/>
      </c>
      <c r="T608" s="3">
        <f>Financials[[#This Row],[ Discounts ]]/Financials[[#This Row],[  Sales ]]</f>
        <v/>
      </c>
      <c r="U608">
        <f>Financials[[#This Row],[  Sales ]]/Financials[[#This Row],[ Units_Sold ]]</f>
        <v/>
      </c>
      <c r="V608">
        <f>Financials[[#This Row],[ Profit ]]/Financials[[#This Row],[ Units_Sold ]]</f>
        <v/>
      </c>
      <c r="W608">
        <f>IF(Financials[[#This Row],[ Profit ]]&lt;0,1,0)</f>
        <v/>
      </c>
    </row>
    <row r="609">
      <c r="A609" t="inlineStr">
        <is>
          <t>Government</t>
        </is>
      </c>
      <c r="B609" t="inlineStr">
        <is>
          <t>Mexico</t>
        </is>
      </c>
      <c r="C609" t="inlineStr">
        <is>
          <t xml:space="preserve"> Carretera </t>
        </is>
      </c>
      <c r="D609" t="inlineStr">
        <is>
          <t xml:space="preserve"> High </t>
        </is>
      </c>
      <c r="E609" t="n">
        <v>2579</v>
      </c>
      <c r="F609" s="69" t="n">
        <v>3</v>
      </c>
      <c r="G609" s="69" t="n">
        <v>20</v>
      </c>
      <c r="H609" s="69" t="n">
        <v>51580</v>
      </c>
      <c r="I609" s="5" t="n">
        <v>7221.2</v>
      </c>
      <c r="J609" s="69" t="n">
        <v>44358.8</v>
      </c>
      <c r="K609" s="69" t="n">
        <v>25790</v>
      </c>
      <c r="L609" s="69" t="n">
        <v>18568.8</v>
      </c>
      <c r="M609" s="1" t="n">
        <v>41643</v>
      </c>
      <c r="N609" t="n">
        <v>4</v>
      </c>
      <c r="O609" t="inlineStr">
        <is>
          <t xml:space="preserve"> April </t>
        </is>
      </c>
      <c r="P609" t="n">
        <v>2014</v>
      </c>
      <c r="Q609">
        <f>IF(Financials[[#This Row],[ Units_Sold ]]&lt;&gt;INT(Financials[[#This Row],[ Units_Sold ]]),1,0)</f>
        <v/>
      </c>
      <c r="R609" s="10">
        <f>Financials[[#This Row],[ Profit ]]/Financials[[#This Row],[  Sales ]]</f>
        <v/>
      </c>
      <c r="S609" s="2">
        <f>Financials[[#This Row],[ COGS ]]/Financials[[#This Row],[  Sales ]]</f>
        <v/>
      </c>
      <c r="T609" s="3">
        <f>Financials[[#This Row],[ Discounts ]]/Financials[[#This Row],[  Sales ]]</f>
        <v/>
      </c>
      <c r="U609">
        <f>Financials[[#This Row],[  Sales ]]/Financials[[#This Row],[ Units_Sold ]]</f>
        <v/>
      </c>
      <c r="V609">
        <f>Financials[[#This Row],[ Profit ]]/Financials[[#This Row],[ Units_Sold ]]</f>
        <v/>
      </c>
      <c r="W609">
        <f>IF(Financials[[#This Row],[ Profit ]]&lt;0,1,0)</f>
        <v/>
      </c>
    </row>
    <row r="610">
      <c r="A610" t="inlineStr">
        <is>
          <t>Government</t>
        </is>
      </c>
      <c r="B610" t="inlineStr">
        <is>
          <t>United States of America</t>
        </is>
      </c>
      <c r="C610" t="inlineStr">
        <is>
          <t xml:space="preserve"> Carretera </t>
        </is>
      </c>
      <c r="D610" t="inlineStr">
        <is>
          <t xml:space="preserve"> High </t>
        </is>
      </c>
      <c r="E610" t="n">
        <v>1743</v>
      </c>
      <c r="F610" s="69" t="n">
        <v>3</v>
      </c>
      <c r="G610" s="69" t="n">
        <v>20</v>
      </c>
      <c r="H610" s="69" t="n">
        <v>34860</v>
      </c>
      <c r="I610" s="5" t="n">
        <v>4880.4</v>
      </c>
      <c r="J610" s="69" t="n">
        <v>29979.6</v>
      </c>
      <c r="K610" s="69" t="n">
        <v>17430</v>
      </c>
      <c r="L610" s="69" t="n">
        <v>12549.6</v>
      </c>
      <c r="M610" s="1" t="n">
        <v>41644</v>
      </c>
      <c r="N610" t="n">
        <v>5</v>
      </c>
      <c r="O610" t="inlineStr">
        <is>
          <t xml:space="preserve"> May </t>
        </is>
      </c>
      <c r="P610" t="n">
        <v>2014</v>
      </c>
      <c r="Q610">
        <f>IF(Financials[[#This Row],[ Units_Sold ]]&lt;&gt;INT(Financials[[#This Row],[ Units_Sold ]]),1,0)</f>
        <v/>
      </c>
      <c r="R610" s="10">
        <f>Financials[[#This Row],[ Profit ]]/Financials[[#This Row],[  Sales ]]</f>
        <v/>
      </c>
      <c r="S610" s="2">
        <f>Financials[[#This Row],[ COGS ]]/Financials[[#This Row],[  Sales ]]</f>
        <v/>
      </c>
      <c r="T610" s="3">
        <f>Financials[[#This Row],[ Discounts ]]/Financials[[#This Row],[  Sales ]]</f>
        <v/>
      </c>
      <c r="U610">
        <f>Financials[[#This Row],[  Sales ]]/Financials[[#This Row],[ Units_Sold ]]</f>
        <v/>
      </c>
      <c r="V610">
        <f>Financials[[#This Row],[ Profit ]]/Financials[[#This Row],[ Units_Sold ]]</f>
        <v/>
      </c>
      <c r="W610">
        <f>IF(Financials[[#This Row],[ Profit ]]&lt;0,1,0)</f>
        <v/>
      </c>
    </row>
    <row r="611">
      <c r="A611" t="inlineStr">
        <is>
          <t>Government</t>
        </is>
      </c>
      <c r="B611" t="inlineStr">
        <is>
          <t>United States of America</t>
        </is>
      </c>
      <c r="C611" t="inlineStr">
        <is>
          <t xml:space="preserve"> Carretera </t>
        </is>
      </c>
      <c r="D611" t="inlineStr">
        <is>
          <t xml:space="preserve"> High </t>
        </is>
      </c>
      <c r="E611" t="n">
        <v>2996</v>
      </c>
      <c r="F611" s="69" t="n">
        <v>3</v>
      </c>
      <c r="G611" s="69" t="n">
        <v>7</v>
      </c>
      <c r="H611" s="69" t="n">
        <v>20972</v>
      </c>
      <c r="I611" s="5" t="n">
        <v>2936.08</v>
      </c>
      <c r="J611" s="69" t="n">
        <v>18035.92</v>
      </c>
      <c r="K611" s="69" t="n">
        <v>14980</v>
      </c>
      <c r="L611" s="69" t="n">
        <v>3055.92</v>
      </c>
      <c r="M611" s="1" t="n">
        <v>41284</v>
      </c>
      <c r="N611" t="n">
        <v>10</v>
      </c>
      <c r="O611" t="inlineStr">
        <is>
          <t xml:space="preserve"> October </t>
        </is>
      </c>
      <c r="P611" t="n">
        <v>2013</v>
      </c>
      <c r="Q611">
        <f>IF(Financials[[#This Row],[ Units_Sold ]]&lt;&gt;INT(Financials[[#This Row],[ Units_Sold ]]),1,0)</f>
        <v/>
      </c>
      <c r="R611" s="10">
        <f>Financials[[#This Row],[ Profit ]]/Financials[[#This Row],[  Sales ]]</f>
        <v/>
      </c>
      <c r="S611" s="2">
        <f>Financials[[#This Row],[ COGS ]]/Financials[[#This Row],[  Sales ]]</f>
        <v/>
      </c>
      <c r="T611" s="3">
        <f>Financials[[#This Row],[ Discounts ]]/Financials[[#This Row],[  Sales ]]</f>
        <v/>
      </c>
      <c r="U611">
        <f>Financials[[#This Row],[  Sales ]]/Financials[[#This Row],[ Units_Sold ]]</f>
        <v/>
      </c>
      <c r="V611">
        <f>Financials[[#This Row],[ Profit ]]/Financials[[#This Row],[ Units_Sold ]]</f>
        <v/>
      </c>
      <c r="W611">
        <f>IF(Financials[[#This Row],[ Profit ]]&lt;0,1,0)</f>
        <v/>
      </c>
    </row>
    <row r="612">
      <c r="A612" t="inlineStr">
        <is>
          <t>Government</t>
        </is>
      </c>
      <c r="B612" t="inlineStr">
        <is>
          <t>Germany</t>
        </is>
      </c>
      <c r="C612" t="inlineStr">
        <is>
          <t xml:space="preserve"> Carretera </t>
        </is>
      </c>
      <c r="D612" t="inlineStr">
        <is>
          <t xml:space="preserve"> High </t>
        </is>
      </c>
      <c r="E612" t="n">
        <v>280</v>
      </c>
      <c r="F612" s="69" t="n">
        <v>3</v>
      </c>
      <c r="G612" s="69" t="n">
        <v>7</v>
      </c>
      <c r="H612" s="69" t="n">
        <v>1960</v>
      </c>
      <c r="I612" s="5" t="n">
        <v>274.4</v>
      </c>
      <c r="J612" s="69" t="n">
        <v>1685.6</v>
      </c>
      <c r="K612" s="69" t="n">
        <v>1400</v>
      </c>
      <c r="L612" s="69" t="n">
        <v>285.6</v>
      </c>
      <c r="M612" s="1" t="n">
        <v>41651</v>
      </c>
      <c r="N612" t="n">
        <v>12</v>
      </c>
      <c r="O612" t="inlineStr">
        <is>
          <t xml:space="preserve"> December </t>
        </is>
      </c>
      <c r="P612" t="n">
        <v>2014</v>
      </c>
      <c r="Q612">
        <f>IF(Financials[[#This Row],[ Units_Sold ]]&lt;&gt;INT(Financials[[#This Row],[ Units_Sold ]]),1,0)</f>
        <v/>
      </c>
      <c r="R612" s="10">
        <f>Financials[[#This Row],[ Profit ]]/Financials[[#This Row],[  Sales ]]</f>
        <v/>
      </c>
      <c r="S612" s="2">
        <f>Financials[[#This Row],[ COGS ]]/Financials[[#This Row],[  Sales ]]</f>
        <v/>
      </c>
      <c r="T612" s="3">
        <f>Financials[[#This Row],[ Discounts ]]/Financials[[#This Row],[  Sales ]]</f>
        <v/>
      </c>
      <c r="U612">
        <f>Financials[[#This Row],[  Sales ]]/Financials[[#This Row],[ Units_Sold ]]</f>
        <v/>
      </c>
      <c r="V612">
        <f>Financials[[#This Row],[ Profit ]]/Financials[[#This Row],[ Units_Sold ]]</f>
        <v/>
      </c>
      <c r="W612">
        <f>IF(Financials[[#This Row],[ Profit ]]&lt;0,1,0)</f>
        <v/>
      </c>
    </row>
    <row r="613">
      <c r="A613" t="inlineStr">
        <is>
          <t>Government</t>
        </is>
      </c>
      <c r="B613" t="inlineStr">
        <is>
          <t>France</t>
        </is>
      </c>
      <c r="C613" t="inlineStr">
        <is>
          <t xml:space="preserve"> Montana </t>
        </is>
      </c>
      <c r="D613" t="inlineStr">
        <is>
          <t xml:space="preserve"> High </t>
        </is>
      </c>
      <c r="E613" t="n">
        <v>293</v>
      </c>
      <c r="F613" s="69" t="n">
        <v>5</v>
      </c>
      <c r="G613" s="69" t="n">
        <v>7</v>
      </c>
      <c r="H613" s="69" t="n">
        <v>2051</v>
      </c>
      <c r="I613" s="5" t="n">
        <v>287.14</v>
      </c>
      <c r="J613" s="69" t="n">
        <v>1763.86</v>
      </c>
      <c r="K613" s="69" t="n">
        <v>1465</v>
      </c>
      <c r="L613" s="69" t="n">
        <v>298.86</v>
      </c>
      <c r="M613" s="1" t="n">
        <v>41641</v>
      </c>
      <c r="N613" t="n">
        <v>2</v>
      </c>
      <c r="O613" t="inlineStr">
        <is>
          <t xml:space="preserve"> February </t>
        </is>
      </c>
      <c r="P613" t="n">
        <v>2014</v>
      </c>
      <c r="Q613">
        <f>IF(Financials[[#This Row],[ Units_Sold ]]&lt;&gt;INT(Financials[[#This Row],[ Units_Sold ]]),1,0)</f>
        <v/>
      </c>
      <c r="R613" s="10">
        <f>Financials[[#This Row],[ Profit ]]/Financials[[#This Row],[  Sales ]]</f>
        <v/>
      </c>
      <c r="S613" s="2">
        <f>Financials[[#This Row],[ COGS ]]/Financials[[#This Row],[  Sales ]]</f>
        <v/>
      </c>
      <c r="T613" s="3">
        <f>Financials[[#This Row],[ Discounts ]]/Financials[[#This Row],[  Sales ]]</f>
        <v/>
      </c>
      <c r="U613">
        <f>Financials[[#This Row],[  Sales ]]/Financials[[#This Row],[ Units_Sold ]]</f>
        <v/>
      </c>
      <c r="V613">
        <f>Financials[[#This Row],[ Profit ]]/Financials[[#This Row],[ Units_Sold ]]</f>
        <v/>
      </c>
      <c r="W613">
        <f>IF(Financials[[#This Row],[ Profit ]]&lt;0,1,0)</f>
        <v/>
      </c>
    </row>
    <row r="614">
      <c r="A614" t="inlineStr">
        <is>
          <t>Government</t>
        </is>
      </c>
      <c r="B614" t="inlineStr">
        <is>
          <t>United States of America</t>
        </is>
      </c>
      <c r="C614" t="inlineStr">
        <is>
          <t xml:space="preserve"> Montana </t>
        </is>
      </c>
      <c r="D614" t="inlineStr">
        <is>
          <t xml:space="preserve"> High </t>
        </is>
      </c>
      <c r="E614" t="n">
        <v>2996</v>
      </c>
      <c r="F614" s="69" t="n">
        <v>5</v>
      </c>
      <c r="G614" s="69" t="n">
        <v>7</v>
      </c>
      <c r="H614" s="69" t="n">
        <v>20972</v>
      </c>
      <c r="I614" s="5" t="n">
        <v>2936.08</v>
      </c>
      <c r="J614" s="69" t="n">
        <v>18035.92</v>
      </c>
      <c r="K614" s="69" t="n">
        <v>14980</v>
      </c>
      <c r="L614" s="69" t="n">
        <v>3055.92</v>
      </c>
      <c r="M614" s="1" t="n">
        <v>41284</v>
      </c>
      <c r="N614" t="n">
        <v>10</v>
      </c>
      <c r="O614" t="inlineStr">
        <is>
          <t xml:space="preserve"> October </t>
        </is>
      </c>
      <c r="P614" t="n">
        <v>2013</v>
      </c>
      <c r="Q614">
        <f>IF(Financials[[#This Row],[ Units_Sold ]]&lt;&gt;INT(Financials[[#This Row],[ Units_Sold ]]),1,0)</f>
        <v/>
      </c>
      <c r="R614" s="10">
        <f>Financials[[#This Row],[ Profit ]]/Financials[[#This Row],[  Sales ]]</f>
        <v/>
      </c>
      <c r="S614" s="2">
        <f>Financials[[#This Row],[ COGS ]]/Financials[[#This Row],[  Sales ]]</f>
        <v/>
      </c>
      <c r="T614" s="3">
        <f>Financials[[#This Row],[ Discounts ]]/Financials[[#This Row],[  Sales ]]</f>
        <v/>
      </c>
      <c r="U614">
        <f>Financials[[#This Row],[  Sales ]]/Financials[[#This Row],[ Units_Sold ]]</f>
        <v/>
      </c>
      <c r="V614">
        <f>Financials[[#This Row],[ Profit ]]/Financials[[#This Row],[ Units_Sold ]]</f>
        <v/>
      </c>
      <c r="W614">
        <f>IF(Financials[[#This Row],[ Profit ]]&lt;0,1,0)</f>
        <v/>
      </c>
    </row>
    <row r="615">
      <c r="A615" t="inlineStr">
        <is>
          <t>Midmarket</t>
        </is>
      </c>
      <c r="B615" t="inlineStr">
        <is>
          <t>Germany</t>
        </is>
      </c>
      <c r="C615" t="inlineStr">
        <is>
          <t xml:space="preserve"> Paseo </t>
        </is>
      </c>
      <c r="D615" t="inlineStr">
        <is>
          <t xml:space="preserve"> High </t>
        </is>
      </c>
      <c r="E615" t="n">
        <v>278</v>
      </c>
      <c r="F615" s="69" t="n">
        <v>10</v>
      </c>
      <c r="G615" s="69" t="n">
        <v>15</v>
      </c>
      <c r="H615" s="69" t="n">
        <v>4170</v>
      </c>
      <c r="I615" s="5" t="n">
        <v>583.8</v>
      </c>
      <c r="J615" s="69" t="n">
        <v>3586.2</v>
      </c>
      <c r="K615" s="69" t="n">
        <v>2780</v>
      </c>
      <c r="L615" s="69" t="n">
        <v>806.2</v>
      </c>
      <c r="M615" s="1" t="n">
        <v>41641</v>
      </c>
      <c r="N615" t="n">
        <v>2</v>
      </c>
      <c r="O615" t="inlineStr">
        <is>
          <t xml:space="preserve"> February </t>
        </is>
      </c>
      <c r="P615" t="n">
        <v>2014</v>
      </c>
      <c r="Q615">
        <f>IF(Financials[[#This Row],[ Units_Sold ]]&lt;&gt;INT(Financials[[#This Row],[ Units_Sold ]]),1,0)</f>
        <v/>
      </c>
      <c r="R615" s="10">
        <f>Financials[[#This Row],[ Profit ]]/Financials[[#This Row],[  Sales ]]</f>
        <v/>
      </c>
      <c r="S615" s="2">
        <f>Financials[[#This Row],[ COGS ]]/Financials[[#This Row],[  Sales ]]</f>
        <v/>
      </c>
      <c r="T615" s="3">
        <f>Financials[[#This Row],[ Discounts ]]/Financials[[#This Row],[  Sales ]]</f>
        <v/>
      </c>
      <c r="U615">
        <f>Financials[[#This Row],[  Sales ]]/Financials[[#This Row],[ Units_Sold ]]</f>
        <v/>
      </c>
      <c r="V615">
        <f>Financials[[#This Row],[ Profit ]]/Financials[[#This Row],[ Units_Sold ]]</f>
        <v/>
      </c>
      <c r="W615">
        <f>IF(Financials[[#This Row],[ Profit ]]&lt;0,1,0)</f>
        <v/>
      </c>
    </row>
    <row r="616">
      <c r="A616" t="inlineStr">
        <is>
          <t>Government</t>
        </is>
      </c>
      <c r="B616" t="inlineStr">
        <is>
          <t>Canada</t>
        </is>
      </c>
      <c r="C616" t="inlineStr">
        <is>
          <t xml:space="preserve"> Paseo </t>
        </is>
      </c>
      <c r="D616" t="inlineStr">
        <is>
          <t xml:space="preserve"> High </t>
        </is>
      </c>
      <c r="E616" t="n">
        <v>2428</v>
      </c>
      <c r="F616" s="69" t="n">
        <v>10</v>
      </c>
      <c r="G616" s="69" t="n">
        <v>20</v>
      </c>
      <c r="H616" s="69" t="n">
        <v>48560</v>
      </c>
      <c r="I616" s="5" t="n">
        <v>6798.4</v>
      </c>
      <c r="J616" s="69" t="n">
        <v>41761.6</v>
      </c>
      <c r="K616" s="69" t="n">
        <v>24280</v>
      </c>
      <c r="L616" s="69" t="n">
        <v>17481.6</v>
      </c>
      <c r="M616" s="1" t="n">
        <v>41642</v>
      </c>
      <c r="N616" t="n">
        <v>3</v>
      </c>
      <c r="O616" t="inlineStr">
        <is>
          <t xml:space="preserve"> March </t>
        </is>
      </c>
      <c r="P616" t="n">
        <v>2014</v>
      </c>
      <c r="Q616">
        <f>IF(Financials[[#This Row],[ Units_Sold ]]&lt;&gt;INT(Financials[[#This Row],[ Units_Sold ]]),1,0)</f>
        <v/>
      </c>
      <c r="R616" s="10">
        <f>Financials[[#This Row],[ Profit ]]/Financials[[#This Row],[  Sales ]]</f>
        <v/>
      </c>
      <c r="S616" s="2">
        <f>Financials[[#This Row],[ COGS ]]/Financials[[#This Row],[  Sales ]]</f>
        <v/>
      </c>
      <c r="T616" s="3">
        <f>Financials[[#This Row],[ Discounts ]]/Financials[[#This Row],[  Sales ]]</f>
        <v/>
      </c>
      <c r="U616">
        <f>Financials[[#This Row],[  Sales ]]/Financials[[#This Row],[ Units_Sold ]]</f>
        <v/>
      </c>
      <c r="V616">
        <f>Financials[[#This Row],[ Profit ]]/Financials[[#This Row],[ Units_Sold ]]</f>
        <v/>
      </c>
      <c r="W616">
        <f>IF(Financials[[#This Row],[ Profit ]]&lt;0,1,0)</f>
        <v/>
      </c>
    </row>
    <row r="617">
      <c r="A617" t="inlineStr">
        <is>
          <t>Midmarket</t>
        </is>
      </c>
      <c r="B617" t="inlineStr">
        <is>
          <t>United States of America</t>
        </is>
      </c>
      <c r="C617" t="inlineStr">
        <is>
          <t xml:space="preserve"> Paseo </t>
        </is>
      </c>
      <c r="D617" t="inlineStr">
        <is>
          <t xml:space="preserve"> High </t>
        </is>
      </c>
      <c r="E617" t="n">
        <v>1767</v>
      </c>
      <c r="F617" s="69" t="n">
        <v>10</v>
      </c>
      <c r="G617" s="69" t="n">
        <v>15</v>
      </c>
      <c r="H617" s="69" t="n">
        <v>26505</v>
      </c>
      <c r="I617" s="5" t="n">
        <v>3710.7</v>
      </c>
      <c r="J617" s="69" t="n">
        <v>22794.3</v>
      </c>
      <c r="K617" s="69" t="n">
        <v>17670</v>
      </c>
      <c r="L617" s="69" t="n">
        <v>5124.3</v>
      </c>
      <c r="M617" s="1" t="n">
        <v>41648</v>
      </c>
      <c r="N617" t="n">
        <v>9</v>
      </c>
      <c r="O617" t="inlineStr">
        <is>
          <t xml:space="preserve"> September </t>
        </is>
      </c>
      <c r="P617" t="n">
        <v>2014</v>
      </c>
      <c r="Q617">
        <f>IF(Financials[[#This Row],[ Units_Sold ]]&lt;&gt;INT(Financials[[#This Row],[ Units_Sold ]]),1,0)</f>
        <v/>
      </c>
      <c r="R617" s="10">
        <f>Financials[[#This Row],[ Profit ]]/Financials[[#This Row],[  Sales ]]</f>
        <v/>
      </c>
      <c r="S617" s="2">
        <f>Financials[[#This Row],[ COGS ]]/Financials[[#This Row],[  Sales ]]</f>
        <v/>
      </c>
      <c r="T617" s="3">
        <f>Financials[[#This Row],[ Discounts ]]/Financials[[#This Row],[  Sales ]]</f>
        <v/>
      </c>
      <c r="U617">
        <f>Financials[[#This Row],[  Sales ]]/Financials[[#This Row],[ Units_Sold ]]</f>
        <v/>
      </c>
      <c r="V617">
        <f>Financials[[#This Row],[ Profit ]]/Financials[[#This Row],[ Units_Sold ]]</f>
        <v/>
      </c>
      <c r="W617">
        <f>IF(Financials[[#This Row],[ Profit ]]&lt;0,1,0)</f>
        <v/>
      </c>
    </row>
    <row r="618">
      <c r="A618" t="inlineStr">
        <is>
          <t>Channel Partners</t>
        </is>
      </c>
      <c r="B618" t="inlineStr">
        <is>
          <t>France</t>
        </is>
      </c>
      <c r="C618" t="inlineStr">
        <is>
          <t xml:space="preserve"> Paseo </t>
        </is>
      </c>
      <c r="D618" t="inlineStr">
        <is>
          <t xml:space="preserve"> High </t>
        </is>
      </c>
      <c r="E618" t="n">
        <v>1393</v>
      </c>
      <c r="F618" s="69" t="n">
        <v>10</v>
      </c>
      <c r="G618" s="69" t="n">
        <v>12</v>
      </c>
      <c r="H618" s="69" t="n">
        <v>16716</v>
      </c>
      <c r="I618" s="5" t="n">
        <v>2340.24</v>
      </c>
      <c r="J618" s="69" t="n">
        <v>14375.76</v>
      </c>
      <c r="K618" s="69" t="n">
        <v>4179</v>
      </c>
      <c r="L618" s="69" t="n">
        <v>10196.76</v>
      </c>
      <c r="M618" s="1" t="n">
        <v>41649</v>
      </c>
      <c r="N618" t="n">
        <v>10</v>
      </c>
      <c r="O618" t="inlineStr">
        <is>
          <t xml:space="preserve"> October </t>
        </is>
      </c>
      <c r="P618" t="n">
        <v>2014</v>
      </c>
      <c r="Q618">
        <f>IF(Financials[[#This Row],[ Units_Sold ]]&lt;&gt;INT(Financials[[#This Row],[ Units_Sold ]]),1,0)</f>
        <v/>
      </c>
      <c r="R618" s="10">
        <f>Financials[[#This Row],[ Profit ]]/Financials[[#This Row],[  Sales ]]</f>
        <v/>
      </c>
      <c r="S618" s="2">
        <f>Financials[[#This Row],[ COGS ]]/Financials[[#This Row],[  Sales ]]</f>
        <v/>
      </c>
      <c r="T618" s="3">
        <f>Financials[[#This Row],[ Discounts ]]/Financials[[#This Row],[  Sales ]]</f>
        <v/>
      </c>
      <c r="U618">
        <f>Financials[[#This Row],[  Sales ]]/Financials[[#This Row],[ Units_Sold ]]</f>
        <v/>
      </c>
      <c r="V618">
        <f>Financials[[#This Row],[ Profit ]]/Financials[[#This Row],[ Units_Sold ]]</f>
        <v/>
      </c>
      <c r="W618">
        <f>IF(Financials[[#This Row],[ Profit ]]&lt;0,1,0)</f>
        <v/>
      </c>
    </row>
    <row r="619">
      <c r="A619" t="inlineStr">
        <is>
          <t>Government</t>
        </is>
      </c>
      <c r="B619" t="inlineStr">
        <is>
          <t>Germany</t>
        </is>
      </c>
      <c r="C619" t="inlineStr">
        <is>
          <t xml:space="preserve"> VTT </t>
        </is>
      </c>
      <c r="D619" t="inlineStr">
        <is>
          <t xml:space="preserve"> High </t>
        </is>
      </c>
      <c r="E619" t="n">
        <v>280</v>
      </c>
      <c r="F619" s="69" t="n">
        <v>250</v>
      </c>
      <c r="G619" s="69" t="n">
        <v>7</v>
      </c>
      <c r="H619" s="69" t="n">
        <v>1960</v>
      </c>
      <c r="I619" s="5" t="n">
        <v>274.4</v>
      </c>
      <c r="J619" s="69" t="n">
        <v>1685.6</v>
      </c>
      <c r="K619" s="69" t="n">
        <v>1400</v>
      </c>
      <c r="L619" s="69" t="n">
        <v>285.6</v>
      </c>
      <c r="M619" s="1" t="n">
        <v>41651</v>
      </c>
      <c r="N619" t="n">
        <v>12</v>
      </c>
      <c r="O619" t="inlineStr">
        <is>
          <t xml:space="preserve"> December </t>
        </is>
      </c>
      <c r="P619" t="n">
        <v>2014</v>
      </c>
      <c r="Q619">
        <f>IF(Financials[[#This Row],[ Units_Sold ]]&lt;&gt;INT(Financials[[#This Row],[ Units_Sold ]]),1,0)</f>
        <v/>
      </c>
      <c r="R619" s="10">
        <f>Financials[[#This Row],[ Profit ]]/Financials[[#This Row],[  Sales ]]</f>
        <v/>
      </c>
      <c r="S619" s="2">
        <f>Financials[[#This Row],[ COGS ]]/Financials[[#This Row],[  Sales ]]</f>
        <v/>
      </c>
      <c r="T619" s="3">
        <f>Financials[[#This Row],[ Discounts ]]/Financials[[#This Row],[  Sales ]]</f>
        <v/>
      </c>
      <c r="U619">
        <f>Financials[[#This Row],[  Sales ]]/Financials[[#This Row],[ Units_Sold ]]</f>
        <v/>
      </c>
      <c r="V619">
        <f>Financials[[#This Row],[ Profit ]]/Financials[[#This Row],[ Units_Sold ]]</f>
        <v/>
      </c>
      <c r="W619">
        <f>IF(Financials[[#This Row],[ Profit ]]&lt;0,1,0)</f>
        <v/>
      </c>
    </row>
    <row r="620">
      <c r="A620" t="inlineStr">
        <is>
          <t>Channel Partners</t>
        </is>
      </c>
      <c r="B620" t="inlineStr">
        <is>
          <t>France</t>
        </is>
      </c>
      <c r="C620" t="inlineStr">
        <is>
          <t xml:space="preserve"> Amarilla </t>
        </is>
      </c>
      <c r="D620" t="inlineStr">
        <is>
          <t xml:space="preserve"> High </t>
        </is>
      </c>
      <c r="E620" t="n">
        <v>1393</v>
      </c>
      <c r="F620" s="69" t="n">
        <v>260</v>
      </c>
      <c r="G620" s="69" t="n">
        <v>12</v>
      </c>
      <c r="H620" s="69" t="n">
        <v>16716</v>
      </c>
      <c r="I620" s="5" t="n">
        <v>2340.24</v>
      </c>
      <c r="J620" s="69" t="n">
        <v>14375.76</v>
      </c>
      <c r="K620" s="69" t="n">
        <v>4179</v>
      </c>
      <c r="L620" s="69" t="n">
        <v>10196.76</v>
      </c>
      <c r="M620" s="1" t="n">
        <v>41649</v>
      </c>
      <c r="N620" t="n">
        <v>10</v>
      </c>
      <c r="O620" t="inlineStr">
        <is>
          <t xml:space="preserve"> October </t>
        </is>
      </c>
      <c r="P620" t="n">
        <v>2014</v>
      </c>
      <c r="Q620">
        <f>IF(Financials[[#This Row],[ Units_Sold ]]&lt;&gt;INT(Financials[[#This Row],[ Units_Sold ]]),1,0)</f>
        <v/>
      </c>
      <c r="R620" s="10">
        <f>Financials[[#This Row],[ Profit ]]/Financials[[#This Row],[  Sales ]]</f>
        <v/>
      </c>
      <c r="S620" s="2">
        <f>Financials[[#This Row],[ COGS ]]/Financials[[#This Row],[  Sales ]]</f>
        <v/>
      </c>
      <c r="T620" s="3">
        <f>Financials[[#This Row],[ Discounts ]]/Financials[[#This Row],[  Sales ]]</f>
        <v/>
      </c>
      <c r="U620">
        <f>Financials[[#This Row],[  Sales ]]/Financials[[#This Row],[ Units_Sold ]]</f>
        <v/>
      </c>
      <c r="V620">
        <f>Financials[[#This Row],[ Profit ]]/Financials[[#This Row],[ Units_Sold ]]</f>
        <v/>
      </c>
      <c r="W620">
        <f>IF(Financials[[#This Row],[ Profit ]]&lt;0,1,0)</f>
        <v/>
      </c>
    </row>
    <row r="621">
      <c r="A621" t="inlineStr">
        <is>
          <t>Channel Partners</t>
        </is>
      </c>
      <c r="B621" t="inlineStr">
        <is>
          <t>United States of America</t>
        </is>
      </c>
      <c r="C621" t="inlineStr">
        <is>
          <t xml:space="preserve"> Amarilla </t>
        </is>
      </c>
      <c r="D621" t="inlineStr">
        <is>
          <t xml:space="preserve"> High </t>
        </is>
      </c>
      <c r="E621" t="n">
        <v>2015</v>
      </c>
      <c r="F621" s="69" t="n">
        <v>260</v>
      </c>
      <c r="G621" s="69" t="n">
        <v>12</v>
      </c>
      <c r="H621" s="69" t="n">
        <v>24180</v>
      </c>
      <c r="I621" s="5" t="n">
        <v>3385.2</v>
      </c>
      <c r="J621" s="69" t="n">
        <v>20794.8</v>
      </c>
      <c r="K621" s="69" t="n">
        <v>6045</v>
      </c>
      <c r="L621" s="69" t="n">
        <v>14749.8</v>
      </c>
      <c r="M621" s="1" t="n">
        <v>41286</v>
      </c>
      <c r="N621" t="n">
        <v>12</v>
      </c>
      <c r="O621" t="inlineStr">
        <is>
          <t xml:space="preserve"> December </t>
        </is>
      </c>
      <c r="P621" t="n">
        <v>2013</v>
      </c>
      <c r="Q621">
        <f>IF(Financials[[#This Row],[ Units_Sold ]]&lt;&gt;INT(Financials[[#This Row],[ Units_Sold ]]),1,0)</f>
        <v/>
      </c>
      <c r="R621" s="10">
        <f>Financials[[#This Row],[ Profit ]]/Financials[[#This Row],[  Sales ]]</f>
        <v/>
      </c>
      <c r="S621" s="2">
        <f>Financials[[#This Row],[ COGS ]]/Financials[[#This Row],[  Sales ]]</f>
        <v/>
      </c>
      <c r="T621" s="3">
        <f>Financials[[#This Row],[ Discounts ]]/Financials[[#This Row],[  Sales ]]</f>
        <v/>
      </c>
      <c r="U621">
        <f>Financials[[#This Row],[  Sales ]]/Financials[[#This Row],[ Units_Sold ]]</f>
        <v/>
      </c>
      <c r="V621">
        <f>Financials[[#This Row],[ Profit ]]/Financials[[#This Row],[ Units_Sold ]]</f>
        <v/>
      </c>
      <c r="W621">
        <f>IF(Financials[[#This Row],[ Profit ]]&lt;0,1,0)</f>
        <v/>
      </c>
    </row>
    <row r="622">
      <c r="A622" t="inlineStr">
        <is>
          <t>Small Business</t>
        </is>
      </c>
      <c r="B622" t="inlineStr">
        <is>
          <t>Mexico</t>
        </is>
      </c>
      <c r="C622" t="inlineStr">
        <is>
          <t xml:space="preserve"> Carretera </t>
        </is>
      </c>
      <c r="D622" t="inlineStr">
        <is>
          <t xml:space="preserve"> High </t>
        </is>
      </c>
      <c r="E622" t="n">
        <v>801</v>
      </c>
      <c r="F622" s="69" t="n">
        <v>3</v>
      </c>
      <c r="G622" s="69" t="n">
        <v>300</v>
      </c>
      <c r="H622" s="69" t="n">
        <v>240300</v>
      </c>
      <c r="I622" s="5" t="n">
        <v>33642</v>
      </c>
      <c r="J622" s="69" t="n">
        <v>206658</v>
      </c>
      <c r="K622" s="69" t="n">
        <v>200250</v>
      </c>
      <c r="L622" s="69" t="n">
        <v>6408</v>
      </c>
      <c r="M622" s="1" t="n">
        <v>41646</v>
      </c>
      <c r="N622" t="n">
        <v>7</v>
      </c>
      <c r="O622" t="inlineStr">
        <is>
          <t xml:space="preserve"> July </t>
        </is>
      </c>
      <c r="P622" t="n">
        <v>2014</v>
      </c>
      <c r="Q622">
        <f>IF(Financials[[#This Row],[ Units_Sold ]]&lt;&gt;INT(Financials[[#This Row],[ Units_Sold ]]),1,0)</f>
        <v/>
      </c>
      <c r="R622" s="10">
        <f>Financials[[#This Row],[ Profit ]]/Financials[[#This Row],[  Sales ]]</f>
        <v/>
      </c>
      <c r="S622" s="2">
        <f>Financials[[#This Row],[ COGS ]]/Financials[[#This Row],[  Sales ]]</f>
        <v/>
      </c>
      <c r="T622" s="3">
        <f>Financials[[#This Row],[ Discounts ]]/Financials[[#This Row],[  Sales ]]</f>
        <v/>
      </c>
      <c r="U622">
        <f>Financials[[#This Row],[  Sales ]]/Financials[[#This Row],[ Units_Sold ]]</f>
        <v/>
      </c>
      <c r="V622">
        <f>Financials[[#This Row],[ Profit ]]/Financials[[#This Row],[ Units_Sold ]]</f>
        <v/>
      </c>
      <c r="W622">
        <f>IF(Financials[[#This Row],[ Profit ]]&lt;0,1,0)</f>
        <v/>
      </c>
    </row>
    <row r="623">
      <c r="A623" t="inlineStr">
        <is>
          <t>Enterprise</t>
        </is>
      </c>
      <c r="B623" t="inlineStr">
        <is>
          <t>France</t>
        </is>
      </c>
      <c r="C623" t="inlineStr">
        <is>
          <t xml:space="preserve"> Carretera </t>
        </is>
      </c>
      <c r="D623" t="inlineStr">
        <is>
          <t xml:space="preserve"> High </t>
        </is>
      </c>
      <c r="E623" t="n">
        <v>1023</v>
      </c>
      <c r="F623" s="69" t="n">
        <v>3</v>
      </c>
      <c r="G623" s="69" t="n">
        <v>125</v>
      </c>
      <c r="H623" s="69" t="n">
        <v>127875</v>
      </c>
      <c r="I623" s="5" t="n">
        <v>17902.5</v>
      </c>
      <c r="J623" s="69" t="n">
        <v>109972.5</v>
      </c>
      <c r="K623" s="69" t="n">
        <v>122760</v>
      </c>
      <c r="L623" s="69" t="n">
        <v>-12787.5</v>
      </c>
      <c r="M623" s="1" t="n">
        <v>41283</v>
      </c>
      <c r="N623" t="n">
        <v>9</v>
      </c>
      <c r="O623" t="inlineStr">
        <is>
          <t xml:space="preserve"> September </t>
        </is>
      </c>
      <c r="P623" t="n">
        <v>2013</v>
      </c>
      <c r="Q623">
        <f>IF(Financials[[#This Row],[ Units_Sold ]]&lt;&gt;INT(Financials[[#This Row],[ Units_Sold ]]),1,0)</f>
        <v/>
      </c>
      <c r="R623" s="10">
        <f>Financials[[#This Row],[ Profit ]]/Financials[[#This Row],[  Sales ]]</f>
        <v/>
      </c>
      <c r="S623" s="2">
        <f>Financials[[#This Row],[ COGS ]]/Financials[[#This Row],[  Sales ]]</f>
        <v/>
      </c>
      <c r="T623" s="3">
        <f>Financials[[#This Row],[ Discounts ]]/Financials[[#This Row],[  Sales ]]</f>
        <v/>
      </c>
      <c r="U623">
        <f>Financials[[#This Row],[  Sales ]]/Financials[[#This Row],[ Units_Sold ]]</f>
        <v/>
      </c>
      <c r="V623">
        <f>Financials[[#This Row],[ Profit ]]/Financials[[#This Row],[ Units_Sold ]]</f>
        <v/>
      </c>
      <c r="W623">
        <f>IF(Financials[[#This Row],[ Profit ]]&lt;0,1,0)</f>
        <v/>
      </c>
    </row>
    <row r="624">
      <c r="A624" t="inlineStr">
        <is>
          <t>Small Business</t>
        </is>
      </c>
      <c r="B624" t="inlineStr">
        <is>
          <t>Canada</t>
        </is>
      </c>
      <c r="C624" t="inlineStr">
        <is>
          <t xml:space="preserve"> Carretera </t>
        </is>
      </c>
      <c r="D624" t="inlineStr">
        <is>
          <t xml:space="preserve"> High </t>
        </is>
      </c>
      <c r="E624" t="n">
        <v>1496</v>
      </c>
      <c r="F624" s="69" t="n">
        <v>3</v>
      </c>
      <c r="G624" s="69" t="n">
        <v>300</v>
      </c>
      <c r="H624" s="69" t="n">
        <v>448800</v>
      </c>
      <c r="I624" s="5" t="n">
        <v>62832</v>
      </c>
      <c r="J624" s="69" t="n">
        <v>385968</v>
      </c>
      <c r="K624" s="69" t="n">
        <v>374000</v>
      </c>
      <c r="L624" s="69" t="n">
        <v>11968</v>
      </c>
      <c r="M624" s="1" t="n">
        <v>41649</v>
      </c>
      <c r="N624" t="n">
        <v>10</v>
      </c>
      <c r="O624" t="inlineStr">
        <is>
          <t xml:space="preserve"> October </t>
        </is>
      </c>
      <c r="P624" t="n">
        <v>2014</v>
      </c>
      <c r="Q624">
        <f>IF(Financials[[#This Row],[ Units_Sold ]]&lt;&gt;INT(Financials[[#This Row],[ Units_Sold ]]),1,0)</f>
        <v/>
      </c>
      <c r="R624" s="10">
        <f>Financials[[#This Row],[ Profit ]]/Financials[[#This Row],[  Sales ]]</f>
        <v/>
      </c>
      <c r="S624" s="2">
        <f>Financials[[#This Row],[ COGS ]]/Financials[[#This Row],[  Sales ]]</f>
        <v/>
      </c>
      <c r="T624" s="3">
        <f>Financials[[#This Row],[ Discounts ]]/Financials[[#This Row],[  Sales ]]</f>
        <v/>
      </c>
      <c r="U624">
        <f>Financials[[#This Row],[  Sales ]]/Financials[[#This Row],[ Units_Sold ]]</f>
        <v/>
      </c>
      <c r="V624">
        <f>Financials[[#This Row],[ Profit ]]/Financials[[#This Row],[ Units_Sold ]]</f>
        <v/>
      </c>
      <c r="W624">
        <f>IF(Financials[[#This Row],[ Profit ]]&lt;0,1,0)</f>
        <v/>
      </c>
    </row>
    <row r="625">
      <c r="A625" t="inlineStr">
        <is>
          <t>Small Business</t>
        </is>
      </c>
      <c r="B625" t="inlineStr">
        <is>
          <t>United States of America</t>
        </is>
      </c>
      <c r="C625" t="inlineStr">
        <is>
          <t xml:space="preserve"> Carretera </t>
        </is>
      </c>
      <c r="D625" t="inlineStr">
        <is>
          <t xml:space="preserve"> High </t>
        </is>
      </c>
      <c r="E625" t="n">
        <v>1010</v>
      </c>
      <c r="F625" s="69" t="n">
        <v>3</v>
      </c>
      <c r="G625" s="69" t="n">
        <v>300</v>
      </c>
      <c r="H625" s="69" t="n">
        <v>303000</v>
      </c>
      <c r="I625" s="5" t="n">
        <v>42420</v>
      </c>
      <c r="J625" s="69" t="n">
        <v>260580</v>
      </c>
      <c r="K625" s="69" t="n">
        <v>252500</v>
      </c>
      <c r="L625" s="69" t="n">
        <v>8080</v>
      </c>
      <c r="M625" s="1" t="n">
        <v>41649</v>
      </c>
      <c r="N625" t="n">
        <v>10</v>
      </c>
      <c r="O625" t="inlineStr">
        <is>
          <t xml:space="preserve"> October </t>
        </is>
      </c>
      <c r="P625" t="n">
        <v>2014</v>
      </c>
      <c r="Q625">
        <f>IF(Financials[[#This Row],[ Units_Sold ]]&lt;&gt;INT(Financials[[#This Row],[ Units_Sold ]]),1,0)</f>
        <v/>
      </c>
      <c r="R625" s="10">
        <f>Financials[[#This Row],[ Profit ]]/Financials[[#This Row],[  Sales ]]</f>
        <v/>
      </c>
      <c r="S625" s="2">
        <f>Financials[[#This Row],[ COGS ]]/Financials[[#This Row],[  Sales ]]</f>
        <v/>
      </c>
      <c r="T625" s="3">
        <f>Financials[[#This Row],[ Discounts ]]/Financials[[#This Row],[  Sales ]]</f>
        <v/>
      </c>
      <c r="U625">
        <f>Financials[[#This Row],[  Sales ]]/Financials[[#This Row],[ Units_Sold ]]</f>
        <v/>
      </c>
      <c r="V625">
        <f>Financials[[#This Row],[ Profit ]]/Financials[[#This Row],[ Units_Sold ]]</f>
        <v/>
      </c>
      <c r="W625">
        <f>IF(Financials[[#This Row],[ Profit ]]&lt;0,1,0)</f>
        <v/>
      </c>
    </row>
    <row r="626">
      <c r="A626" t="inlineStr">
        <is>
          <t>Midmarket</t>
        </is>
      </c>
      <c r="B626" t="inlineStr">
        <is>
          <t>Germany</t>
        </is>
      </c>
      <c r="C626" t="inlineStr">
        <is>
          <t xml:space="preserve"> Carretera </t>
        </is>
      </c>
      <c r="D626" t="inlineStr">
        <is>
          <t xml:space="preserve"> High </t>
        </is>
      </c>
      <c r="E626" t="n">
        <v>1513</v>
      </c>
      <c r="F626" s="69" t="n">
        <v>3</v>
      </c>
      <c r="G626" s="69" t="n">
        <v>15</v>
      </c>
      <c r="H626" s="69" t="n">
        <v>22695</v>
      </c>
      <c r="I626" s="5" t="n">
        <v>3177.3</v>
      </c>
      <c r="J626" s="69" t="n">
        <v>19517.7</v>
      </c>
      <c r="K626" s="69" t="n">
        <v>15130</v>
      </c>
      <c r="L626" s="69" t="n">
        <v>4387.7</v>
      </c>
      <c r="M626" s="1" t="n">
        <v>41650</v>
      </c>
      <c r="N626" t="n">
        <v>11</v>
      </c>
      <c r="O626" t="inlineStr">
        <is>
          <t xml:space="preserve"> November </t>
        </is>
      </c>
      <c r="P626" t="n">
        <v>2014</v>
      </c>
      <c r="Q626">
        <f>IF(Financials[[#This Row],[ Units_Sold ]]&lt;&gt;INT(Financials[[#This Row],[ Units_Sold ]]),1,0)</f>
        <v/>
      </c>
      <c r="R626" s="10">
        <f>Financials[[#This Row],[ Profit ]]/Financials[[#This Row],[  Sales ]]</f>
        <v/>
      </c>
      <c r="S626" s="2">
        <f>Financials[[#This Row],[ COGS ]]/Financials[[#This Row],[  Sales ]]</f>
        <v/>
      </c>
      <c r="T626" s="3">
        <f>Financials[[#This Row],[ Discounts ]]/Financials[[#This Row],[  Sales ]]</f>
        <v/>
      </c>
      <c r="U626">
        <f>Financials[[#This Row],[  Sales ]]/Financials[[#This Row],[ Units_Sold ]]</f>
        <v/>
      </c>
      <c r="V626">
        <f>Financials[[#This Row],[ Profit ]]/Financials[[#This Row],[ Units_Sold ]]</f>
        <v/>
      </c>
      <c r="W626">
        <f>IF(Financials[[#This Row],[ Profit ]]&lt;0,1,0)</f>
        <v/>
      </c>
    </row>
    <row r="627">
      <c r="A627" t="inlineStr">
        <is>
          <t>Midmarket</t>
        </is>
      </c>
      <c r="B627" t="inlineStr">
        <is>
          <t>Canada</t>
        </is>
      </c>
      <c r="C627" t="inlineStr">
        <is>
          <t xml:space="preserve"> Carretera </t>
        </is>
      </c>
      <c r="D627" t="inlineStr">
        <is>
          <t xml:space="preserve"> High </t>
        </is>
      </c>
      <c r="E627" t="n">
        <v>2300</v>
      </c>
      <c r="F627" s="69" t="n">
        <v>3</v>
      </c>
      <c r="G627" s="69" t="n">
        <v>15</v>
      </c>
      <c r="H627" s="69" t="n">
        <v>34500</v>
      </c>
      <c r="I627" s="5" t="n">
        <v>4830</v>
      </c>
      <c r="J627" s="69" t="n">
        <v>29670</v>
      </c>
      <c r="K627" s="69" t="n">
        <v>23000</v>
      </c>
      <c r="L627" s="69" t="n">
        <v>6670</v>
      </c>
      <c r="M627" s="1" t="n">
        <v>41651</v>
      </c>
      <c r="N627" t="n">
        <v>12</v>
      </c>
      <c r="O627" t="inlineStr">
        <is>
          <t xml:space="preserve"> December </t>
        </is>
      </c>
      <c r="P627" t="n">
        <v>2014</v>
      </c>
      <c r="Q627">
        <f>IF(Financials[[#This Row],[ Units_Sold ]]&lt;&gt;INT(Financials[[#This Row],[ Units_Sold ]]),1,0)</f>
        <v/>
      </c>
      <c r="R627" s="10">
        <f>Financials[[#This Row],[ Profit ]]/Financials[[#This Row],[  Sales ]]</f>
        <v/>
      </c>
      <c r="S627" s="2">
        <f>Financials[[#This Row],[ COGS ]]/Financials[[#This Row],[  Sales ]]</f>
        <v/>
      </c>
      <c r="T627" s="3">
        <f>Financials[[#This Row],[ Discounts ]]/Financials[[#This Row],[  Sales ]]</f>
        <v/>
      </c>
      <c r="U627">
        <f>Financials[[#This Row],[  Sales ]]/Financials[[#This Row],[ Units_Sold ]]</f>
        <v/>
      </c>
      <c r="V627">
        <f>Financials[[#This Row],[ Profit ]]/Financials[[#This Row],[ Units_Sold ]]</f>
        <v/>
      </c>
      <c r="W627">
        <f>IF(Financials[[#This Row],[ Profit ]]&lt;0,1,0)</f>
        <v/>
      </c>
    </row>
    <row r="628">
      <c r="A628" t="inlineStr">
        <is>
          <t>Enterprise</t>
        </is>
      </c>
      <c r="B628" t="inlineStr">
        <is>
          <t>Mexico</t>
        </is>
      </c>
      <c r="C628" t="inlineStr">
        <is>
          <t xml:space="preserve"> Carretera </t>
        </is>
      </c>
      <c r="D628" t="inlineStr">
        <is>
          <t xml:space="preserve"> High </t>
        </is>
      </c>
      <c r="E628" t="n">
        <v>2821</v>
      </c>
      <c r="F628" s="69" t="n">
        <v>3</v>
      </c>
      <c r="G628" s="69" t="n">
        <v>125</v>
      </c>
      <c r="H628" s="69" t="n">
        <v>352625</v>
      </c>
      <c r="I628" s="5" t="n">
        <v>49367.5</v>
      </c>
      <c r="J628" s="69" t="n">
        <v>303257.5</v>
      </c>
      <c r="K628" s="69" t="n">
        <v>338520</v>
      </c>
      <c r="L628" s="69" t="n">
        <v>-35262.5</v>
      </c>
      <c r="M628" s="1" t="n">
        <v>41286</v>
      </c>
      <c r="N628" t="n">
        <v>12</v>
      </c>
      <c r="O628" t="inlineStr">
        <is>
          <t xml:space="preserve"> December </t>
        </is>
      </c>
      <c r="P628" t="n">
        <v>2013</v>
      </c>
      <c r="Q628">
        <f>IF(Financials[[#This Row],[ Units_Sold ]]&lt;&gt;INT(Financials[[#This Row],[ Units_Sold ]]),1,0)</f>
        <v/>
      </c>
      <c r="R628" s="10">
        <f>Financials[[#This Row],[ Profit ]]/Financials[[#This Row],[  Sales ]]</f>
        <v/>
      </c>
      <c r="S628" s="2">
        <f>Financials[[#This Row],[ COGS ]]/Financials[[#This Row],[  Sales ]]</f>
        <v/>
      </c>
      <c r="T628" s="3">
        <f>Financials[[#This Row],[ Discounts ]]/Financials[[#This Row],[  Sales ]]</f>
        <v/>
      </c>
      <c r="U628">
        <f>Financials[[#This Row],[  Sales ]]/Financials[[#This Row],[ Units_Sold ]]</f>
        <v/>
      </c>
      <c r="V628">
        <f>Financials[[#This Row],[ Profit ]]/Financials[[#This Row],[ Units_Sold ]]</f>
        <v/>
      </c>
      <c r="W628">
        <f>IF(Financials[[#This Row],[ Profit ]]&lt;0,1,0)</f>
        <v/>
      </c>
    </row>
    <row r="629">
      <c r="A629" t="inlineStr">
        <is>
          <t>Government</t>
        </is>
      </c>
      <c r="B629" t="inlineStr">
        <is>
          <t>Canada</t>
        </is>
      </c>
      <c r="C629" t="inlineStr">
        <is>
          <t xml:space="preserve"> Montana </t>
        </is>
      </c>
      <c r="D629" t="inlineStr">
        <is>
          <t xml:space="preserve"> High </t>
        </is>
      </c>
      <c r="E629" t="n">
        <v>2227.5</v>
      </c>
      <c r="F629" s="69" t="n">
        <v>5</v>
      </c>
      <c r="G629" s="69" t="n">
        <v>350</v>
      </c>
      <c r="H629" s="69" t="n">
        <v>779625</v>
      </c>
      <c r="I629" s="5" t="n">
        <v>109147.5</v>
      </c>
      <c r="J629" s="69" t="n">
        <v>670477.5</v>
      </c>
      <c r="K629" s="69" t="n">
        <v>579150</v>
      </c>
      <c r="L629" s="69" t="n">
        <v>91327.5</v>
      </c>
      <c r="M629" s="1" t="n">
        <v>41640</v>
      </c>
      <c r="N629" t="n">
        <v>1</v>
      </c>
      <c r="O629" t="inlineStr">
        <is>
          <t xml:space="preserve"> January </t>
        </is>
      </c>
      <c r="P629" t="n">
        <v>2014</v>
      </c>
      <c r="Q629">
        <f>IF(Financials[[#This Row],[ Units_Sold ]]&lt;&gt;INT(Financials[[#This Row],[ Units_Sold ]]),1,0)</f>
        <v/>
      </c>
      <c r="R629" s="10">
        <f>Financials[[#This Row],[ Profit ]]/Financials[[#This Row],[  Sales ]]</f>
        <v/>
      </c>
      <c r="S629" s="2">
        <f>Financials[[#This Row],[ COGS ]]/Financials[[#This Row],[  Sales ]]</f>
        <v/>
      </c>
      <c r="T629" s="3">
        <f>Financials[[#This Row],[ Discounts ]]/Financials[[#This Row],[  Sales ]]</f>
        <v/>
      </c>
      <c r="U629">
        <f>Financials[[#This Row],[  Sales ]]/Financials[[#This Row],[ Units_Sold ]]</f>
        <v/>
      </c>
      <c r="V629">
        <f>Financials[[#This Row],[ Profit ]]/Financials[[#This Row],[ Units_Sold ]]</f>
        <v/>
      </c>
      <c r="W629">
        <f>IF(Financials[[#This Row],[ Profit ]]&lt;0,1,0)</f>
        <v/>
      </c>
    </row>
    <row r="630">
      <c r="A630" t="inlineStr">
        <is>
          <t>Government</t>
        </is>
      </c>
      <c r="B630" t="inlineStr">
        <is>
          <t>Germany</t>
        </is>
      </c>
      <c r="C630" t="inlineStr">
        <is>
          <t xml:space="preserve"> Montana </t>
        </is>
      </c>
      <c r="D630" t="inlineStr">
        <is>
          <t xml:space="preserve"> High </t>
        </is>
      </c>
      <c r="E630" t="n">
        <v>1199</v>
      </c>
      <c r="F630" s="69" t="n">
        <v>5</v>
      </c>
      <c r="G630" s="69" t="n">
        <v>350</v>
      </c>
      <c r="H630" s="69" t="n">
        <v>419650</v>
      </c>
      <c r="I630" s="5" t="n">
        <v>58751</v>
      </c>
      <c r="J630" s="69" t="n">
        <v>360899</v>
      </c>
      <c r="K630" s="69" t="n">
        <v>311740</v>
      </c>
      <c r="L630" s="69" t="n">
        <v>49159</v>
      </c>
      <c r="M630" s="1" t="n">
        <v>41643</v>
      </c>
      <c r="N630" t="n">
        <v>4</v>
      </c>
      <c r="O630" t="inlineStr">
        <is>
          <t xml:space="preserve"> April </t>
        </is>
      </c>
      <c r="P630" t="n">
        <v>2014</v>
      </c>
      <c r="Q630">
        <f>IF(Financials[[#This Row],[ Units_Sold ]]&lt;&gt;INT(Financials[[#This Row],[ Units_Sold ]]),1,0)</f>
        <v/>
      </c>
      <c r="R630" s="10">
        <f>Financials[[#This Row],[ Profit ]]/Financials[[#This Row],[  Sales ]]</f>
        <v/>
      </c>
      <c r="S630" s="2">
        <f>Financials[[#This Row],[ COGS ]]/Financials[[#This Row],[  Sales ]]</f>
        <v/>
      </c>
      <c r="T630" s="3">
        <f>Financials[[#This Row],[ Discounts ]]/Financials[[#This Row],[  Sales ]]</f>
        <v/>
      </c>
      <c r="U630">
        <f>Financials[[#This Row],[  Sales ]]/Financials[[#This Row],[ Units_Sold ]]</f>
        <v/>
      </c>
      <c r="V630">
        <f>Financials[[#This Row],[ Profit ]]/Financials[[#This Row],[ Units_Sold ]]</f>
        <v/>
      </c>
      <c r="W630">
        <f>IF(Financials[[#This Row],[ Profit ]]&lt;0,1,0)</f>
        <v/>
      </c>
    </row>
    <row r="631">
      <c r="A631" t="inlineStr">
        <is>
          <t>Government</t>
        </is>
      </c>
      <c r="B631" t="inlineStr">
        <is>
          <t>Canada</t>
        </is>
      </c>
      <c r="C631" t="inlineStr">
        <is>
          <t xml:space="preserve"> Montana </t>
        </is>
      </c>
      <c r="D631" t="inlineStr">
        <is>
          <t xml:space="preserve"> High </t>
        </is>
      </c>
      <c r="E631" t="n">
        <v>200</v>
      </c>
      <c r="F631" s="69" t="n">
        <v>5</v>
      </c>
      <c r="G631" s="69" t="n">
        <v>350</v>
      </c>
      <c r="H631" s="69" t="n">
        <v>70000</v>
      </c>
      <c r="I631" s="5" t="n">
        <v>9800</v>
      </c>
      <c r="J631" s="69" t="n">
        <v>60200</v>
      </c>
      <c r="K631" s="69" t="n">
        <v>52000</v>
      </c>
      <c r="L631" s="69" t="n">
        <v>8200</v>
      </c>
      <c r="M631" s="1" t="n">
        <v>41644</v>
      </c>
      <c r="N631" t="n">
        <v>5</v>
      </c>
      <c r="O631" t="inlineStr">
        <is>
          <t xml:space="preserve"> May </t>
        </is>
      </c>
      <c r="P631" t="n">
        <v>2014</v>
      </c>
      <c r="Q631">
        <f>IF(Financials[[#This Row],[ Units_Sold ]]&lt;&gt;INT(Financials[[#This Row],[ Units_Sold ]]),1,0)</f>
        <v/>
      </c>
      <c r="R631" s="10">
        <f>Financials[[#This Row],[ Profit ]]/Financials[[#This Row],[  Sales ]]</f>
        <v/>
      </c>
      <c r="S631" s="2">
        <f>Financials[[#This Row],[ COGS ]]/Financials[[#This Row],[  Sales ]]</f>
        <v/>
      </c>
      <c r="T631" s="3">
        <f>Financials[[#This Row],[ Discounts ]]/Financials[[#This Row],[  Sales ]]</f>
        <v/>
      </c>
      <c r="U631">
        <f>Financials[[#This Row],[  Sales ]]/Financials[[#This Row],[ Units_Sold ]]</f>
        <v/>
      </c>
      <c r="V631">
        <f>Financials[[#This Row],[ Profit ]]/Financials[[#This Row],[ Units_Sold ]]</f>
        <v/>
      </c>
      <c r="W631">
        <f>IF(Financials[[#This Row],[ Profit ]]&lt;0,1,0)</f>
        <v/>
      </c>
    </row>
    <row r="632">
      <c r="A632" t="inlineStr">
        <is>
          <t>Government</t>
        </is>
      </c>
      <c r="B632" t="inlineStr">
        <is>
          <t>Canada</t>
        </is>
      </c>
      <c r="C632" t="inlineStr">
        <is>
          <t xml:space="preserve"> Montana </t>
        </is>
      </c>
      <c r="D632" t="inlineStr">
        <is>
          <t xml:space="preserve"> High </t>
        </is>
      </c>
      <c r="E632" t="n">
        <v>388</v>
      </c>
      <c r="F632" s="69" t="n">
        <v>5</v>
      </c>
      <c r="G632" s="69" t="n">
        <v>7</v>
      </c>
      <c r="H632" s="69" t="n">
        <v>2716</v>
      </c>
      <c r="I632" s="5" t="n">
        <v>380.24</v>
      </c>
      <c r="J632" s="69" t="n">
        <v>2335.76</v>
      </c>
      <c r="K632" s="69" t="n">
        <v>1940</v>
      </c>
      <c r="L632" s="69" t="n">
        <v>395.76</v>
      </c>
      <c r="M632" s="1" t="n">
        <v>41648</v>
      </c>
      <c r="N632" t="n">
        <v>9</v>
      </c>
      <c r="O632" t="inlineStr">
        <is>
          <t xml:space="preserve"> September </t>
        </is>
      </c>
      <c r="P632" t="n">
        <v>2014</v>
      </c>
      <c r="Q632">
        <f>IF(Financials[[#This Row],[ Units_Sold ]]&lt;&gt;INT(Financials[[#This Row],[ Units_Sold ]]),1,0)</f>
        <v/>
      </c>
      <c r="R632" s="10">
        <f>Financials[[#This Row],[ Profit ]]/Financials[[#This Row],[  Sales ]]</f>
        <v/>
      </c>
      <c r="S632" s="2">
        <f>Financials[[#This Row],[ COGS ]]/Financials[[#This Row],[  Sales ]]</f>
        <v/>
      </c>
      <c r="T632" s="3">
        <f>Financials[[#This Row],[ Discounts ]]/Financials[[#This Row],[  Sales ]]</f>
        <v/>
      </c>
      <c r="U632">
        <f>Financials[[#This Row],[  Sales ]]/Financials[[#This Row],[ Units_Sold ]]</f>
        <v/>
      </c>
      <c r="V632">
        <f>Financials[[#This Row],[ Profit ]]/Financials[[#This Row],[ Units_Sold ]]</f>
        <v/>
      </c>
      <c r="W632">
        <f>IF(Financials[[#This Row],[ Profit ]]&lt;0,1,0)</f>
        <v/>
      </c>
    </row>
    <row r="633">
      <c r="A633" t="inlineStr">
        <is>
          <t>Government</t>
        </is>
      </c>
      <c r="B633" t="inlineStr">
        <is>
          <t>Mexico</t>
        </is>
      </c>
      <c r="C633" t="inlineStr">
        <is>
          <t xml:space="preserve"> Montana </t>
        </is>
      </c>
      <c r="D633" t="inlineStr">
        <is>
          <t xml:space="preserve"> High </t>
        </is>
      </c>
      <c r="E633" t="n">
        <v>1727</v>
      </c>
      <c r="F633" s="69" t="n">
        <v>5</v>
      </c>
      <c r="G633" s="69" t="n">
        <v>7</v>
      </c>
      <c r="H633" s="69" t="n">
        <v>12089</v>
      </c>
      <c r="I633" s="5" t="n">
        <v>1692.46</v>
      </c>
      <c r="J633" s="69" t="n">
        <v>10396.54</v>
      </c>
      <c r="K633" s="69" t="n">
        <v>8635</v>
      </c>
      <c r="L633" s="69" t="n">
        <v>1761.54</v>
      </c>
      <c r="M633" s="1" t="n">
        <v>41284</v>
      </c>
      <c r="N633" t="n">
        <v>10</v>
      </c>
      <c r="O633" t="inlineStr">
        <is>
          <t xml:space="preserve"> October </t>
        </is>
      </c>
      <c r="P633" t="n">
        <v>2013</v>
      </c>
      <c r="Q633">
        <f>IF(Financials[[#This Row],[ Units_Sold ]]&lt;&gt;INT(Financials[[#This Row],[ Units_Sold ]]),1,0)</f>
        <v/>
      </c>
      <c r="R633" s="10">
        <f>Financials[[#This Row],[ Profit ]]/Financials[[#This Row],[  Sales ]]</f>
        <v/>
      </c>
      <c r="S633" s="2">
        <f>Financials[[#This Row],[ COGS ]]/Financials[[#This Row],[  Sales ]]</f>
        <v/>
      </c>
      <c r="T633" s="3">
        <f>Financials[[#This Row],[ Discounts ]]/Financials[[#This Row],[  Sales ]]</f>
        <v/>
      </c>
      <c r="U633">
        <f>Financials[[#This Row],[  Sales ]]/Financials[[#This Row],[ Units_Sold ]]</f>
        <v/>
      </c>
      <c r="V633">
        <f>Financials[[#This Row],[ Profit ]]/Financials[[#This Row],[ Units_Sold ]]</f>
        <v/>
      </c>
      <c r="W633">
        <f>IF(Financials[[#This Row],[ Profit ]]&lt;0,1,0)</f>
        <v/>
      </c>
    </row>
    <row r="634">
      <c r="A634" t="inlineStr">
        <is>
          <t>Midmarket</t>
        </is>
      </c>
      <c r="B634" t="inlineStr">
        <is>
          <t>Canada</t>
        </is>
      </c>
      <c r="C634" t="inlineStr">
        <is>
          <t xml:space="preserve"> Montana </t>
        </is>
      </c>
      <c r="D634" t="inlineStr">
        <is>
          <t xml:space="preserve"> High </t>
        </is>
      </c>
      <c r="E634" t="n">
        <v>2300</v>
      </c>
      <c r="F634" s="69" t="n">
        <v>5</v>
      </c>
      <c r="G634" s="69" t="n">
        <v>15</v>
      </c>
      <c r="H634" s="69" t="n">
        <v>34500</v>
      </c>
      <c r="I634" s="5" t="n">
        <v>4830</v>
      </c>
      <c r="J634" s="69" t="n">
        <v>29670</v>
      </c>
      <c r="K634" s="69" t="n">
        <v>23000</v>
      </c>
      <c r="L634" s="69" t="n">
        <v>6670</v>
      </c>
      <c r="M634" s="1" t="n">
        <v>41651</v>
      </c>
      <c r="N634" t="n">
        <v>12</v>
      </c>
      <c r="O634" t="inlineStr">
        <is>
          <t xml:space="preserve"> December </t>
        </is>
      </c>
      <c r="P634" t="n">
        <v>2014</v>
      </c>
      <c r="Q634">
        <f>IF(Financials[[#This Row],[ Units_Sold ]]&lt;&gt;INT(Financials[[#This Row],[ Units_Sold ]]),1,0)</f>
        <v/>
      </c>
      <c r="R634" s="10">
        <f>Financials[[#This Row],[ Profit ]]/Financials[[#This Row],[  Sales ]]</f>
        <v/>
      </c>
      <c r="S634" s="2">
        <f>Financials[[#This Row],[ COGS ]]/Financials[[#This Row],[  Sales ]]</f>
        <v/>
      </c>
      <c r="T634" s="3">
        <f>Financials[[#This Row],[ Discounts ]]/Financials[[#This Row],[  Sales ]]</f>
        <v/>
      </c>
      <c r="U634">
        <f>Financials[[#This Row],[  Sales ]]/Financials[[#This Row],[ Units_Sold ]]</f>
        <v/>
      </c>
      <c r="V634">
        <f>Financials[[#This Row],[ Profit ]]/Financials[[#This Row],[ Units_Sold ]]</f>
        <v/>
      </c>
      <c r="W634">
        <f>IF(Financials[[#This Row],[ Profit ]]&lt;0,1,0)</f>
        <v/>
      </c>
    </row>
    <row r="635">
      <c r="A635" t="inlineStr">
        <is>
          <t>Government</t>
        </is>
      </c>
      <c r="B635" t="inlineStr">
        <is>
          <t>Mexico</t>
        </is>
      </c>
      <c r="C635" t="inlineStr">
        <is>
          <t xml:space="preserve"> Paseo </t>
        </is>
      </c>
      <c r="D635" t="inlineStr">
        <is>
          <t xml:space="preserve"> High </t>
        </is>
      </c>
      <c r="E635" t="n">
        <v>260</v>
      </c>
      <c r="F635" s="69" t="n">
        <v>10</v>
      </c>
      <c r="G635" s="69" t="n">
        <v>20</v>
      </c>
      <c r="H635" s="69" t="n">
        <v>5200</v>
      </c>
      <c r="I635" s="5" t="n">
        <v>728</v>
      </c>
      <c r="J635" s="69" t="n">
        <v>4472</v>
      </c>
      <c r="K635" s="69" t="n">
        <v>2600</v>
      </c>
      <c r="L635" s="69" t="n">
        <v>1872</v>
      </c>
      <c r="M635" s="1" t="n">
        <v>41641</v>
      </c>
      <c r="N635" t="n">
        <v>2</v>
      </c>
      <c r="O635" t="inlineStr">
        <is>
          <t xml:space="preserve"> February </t>
        </is>
      </c>
      <c r="P635" t="n">
        <v>2014</v>
      </c>
      <c r="Q635">
        <f>IF(Financials[[#This Row],[ Units_Sold ]]&lt;&gt;INT(Financials[[#This Row],[ Units_Sold ]]),1,0)</f>
        <v/>
      </c>
      <c r="R635" s="10">
        <f>Financials[[#This Row],[ Profit ]]/Financials[[#This Row],[  Sales ]]</f>
        <v/>
      </c>
      <c r="S635" s="2">
        <f>Financials[[#This Row],[ COGS ]]/Financials[[#This Row],[  Sales ]]</f>
        <v/>
      </c>
      <c r="T635" s="3">
        <f>Financials[[#This Row],[ Discounts ]]/Financials[[#This Row],[  Sales ]]</f>
        <v/>
      </c>
      <c r="U635">
        <f>Financials[[#This Row],[  Sales ]]/Financials[[#This Row],[ Units_Sold ]]</f>
        <v/>
      </c>
      <c r="V635">
        <f>Financials[[#This Row],[ Profit ]]/Financials[[#This Row],[ Units_Sold ]]</f>
        <v/>
      </c>
      <c r="W635">
        <f>IF(Financials[[#This Row],[ Profit ]]&lt;0,1,0)</f>
        <v/>
      </c>
    </row>
    <row r="636">
      <c r="A636" t="inlineStr">
        <is>
          <t>Midmarket</t>
        </is>
      </c>
      <c r="B636" t="inlineStr">
        <is>
          <t>Canada</t>
        </is>
      </c>
      <c r="C636" t="inlineStr">
        <is>
          <t xml:space="preserve"> Paseo </t>
        </is>
      </c>
      <c r="D636" t="inlineStr">
        <is>
          <t xml:space="preserve"> High </t>
        </is>
      </c>
      <c r="E636" t="n">
        <v>2470</v>
      </c>
      <c r="F636" s="69" t="n">
        <v>10</v>
      </c>
      <c r="G636" s="69" t="n">
        <v>15</v>
      </c>
      <c r="H636" s="69" t="n">
        <v>37050</v>
      </c>
      <c r="I636" s="5" t="n">
        <v>5187</v>
      </c>
      <c r="J636" s="69" t="n">
        <v>31863</v>
      </c>
      <c r="K636" s="69" t="n">
        <v>24700</v>
      </c>
      <c r="L636" s="69" t="n">
        <v>7163</v>
      </c>
      <c r="M636" s="1" t="n">
        <v>41283</v>
      </c>
      <c r="N636" t="n">
        <v>9</v>
      </c>
      <c r="O636" t="inlineStr">
        <is>
          <t xml:space="preserve"> September </t>
        </is>
      </c>
      <c r="P636" t="n">
        <v>2013</v>
      </c>
      <c r="Q636">
        <f>IF(Financials[[#This Row],[ Units_Sold ]]&lt;&gt;INT(Financials[[#This Row],[ Units_Sold ]]),1,0)</f>
        <v/>
      </c>
      <c r="R636" s="10">
        <f>Financials[[#This Row],[ Profit ]]/Financials[[#This Row],[  Sales ]]</f>
        <v/>
      </c>
      <c r="S636" s="2">
        <f>Financials[[#This Row],[ COGS ]]/Financials[[#This Row],[  Sales ]]</f>
        <v/>
      </c>
      <c r="T636" s="3">
        <f>Financials[[#This Row],[ Discounts ]]/Financials[[#This Row],[  Sales ]]</f>
        <v/>
      </c>
      <c r="U636">
        <f>Financials[[#This Row],[  Sales ]]/Financials[[#This Row],[ Units_Sold ]]</f>
        <v/>
      </c>
      <c r="V636">
        <f>Financials[[#This Row],[ Profit ]]/Financials[[#This Row],[ Units_Sold ]]</f>
        <v/>
      </c>
      <c r="W636">
        <f>IF(Financials[[#This Row],[ Profit ]]&lt;0,1,0)</f>
        <v/>
      </c>
    </row>
    <row r="637">
      <c r="A637" t="inlineStr">
        <is>
          <t>Midmarket</t>
        </is>
      </c>
      <c r="B637" t="inlineStr">
        <is>
          <t>Canada</t>
        </is>
      </c>
      <c r="C637" t="inlineStr">
        <is>
          <t xml:space="preserve"> Paseo </t>
        </is>
      </c>
      <c r="D637" t="inlineStr">
        <is>
          <t xml:space="preserve"> High </t>
        </is>
      </c>
      <c r="E637" t="n">
        <v>1743</v>
      </c>
      <c r="F637" s="69" t="n">
        <v>10</v>
      </c>
      <c r="G637" s="69" t="n">
        <v>15</v>
      </c>
      <c r="H637" s="69" t="n">
        <v>26145</v>
      </c>
      <c r="I637" s="5" t="n">
        <v>3660.3</v>
      </c>
      <c r="J637" s="69" t="n">
        <v>22484.7</v>
      </c>
      <c r="K637" s="69" t="n">
        <v>17430</v>
      </c>
      <c r="L637" s="69" t="n">
        <v>5054.7</v>
      </c>
      <c r="M637" s="1" t="n">
        <v>41284</v>
      </c>
      <c r="N637" t="n">
        <v>10</v>
      </c>
      <c r="O637" t="inlineStr">
        <is>
          <t xml:space="preserve"> October </t>
        </is>
      </c>
      <c r="P637" t="n">
        <v>2013</v>
      </c>
      <c r="Q637">
        <f>IF(Financials[[#This Row],[ Units_Sold ]]&lt;&gt;INT(Financials[[#This Row],[ Units_Sold ]]),1,0)</f>
        <v/>
      </c>
      <c r="R637" s="10">
        <f>Financials[[#This Row],[ Profit ]]/Financials[[#This Row],[  Sales ]]</f>
        <v/>
      </c>
      <c r="S637" s="2">
        <f>Financials[[#This Row],[ COGS ]]/Financials[[#This Row],[  Sales ]]</f>
        <v/>
      </c>
      <c r="T637" s="3">
        <f>Financials[[#This Row],[ Discounts ]]/Financials[[#This Row],[  Sales ]]</f>
        <v/>
      </c>
      <c r="U637">
        <f>Financials[[#This Row],[  Sales ]]/Financials[[#This Row],[ Units_Sold ]]</f>
        <v/>
      </c>
      <c r="V637">
        <f>Financials[[#This Row],[ Profit ]]/Financials[[#This Row],[ Units_Sold ]]</f>
        <v/>
      </c>
      <c r="W637">
        <f>IF(Financials[[#This Row],[ Profit ]]&lt;0,1,0)</f>
        <v/>
      </c>
    </row>
    <row r="638">
      <c r="A638" t="inlineStr">
        <is>
          <t>Channel Partners</t>
        </is>
      </c>
      <c r="B638" t="inlineStr">
        <is>
          <t>United States of America</t>
        </is>
      </c>
      <c r="C638" t="inlineStr">
        <is>
          <t xml:space="preserve"> Paseo </t>
        </is>
      </c>
      <c r="D638" t="inlineStr">
        <is>
          <t xml:space="preserve"> High </t>
        </is>
      </c>
      <c r="E638" t="n">
        <v>2914</v>
      </c>
      <c r="F638" s="69" t="n">
        <v>10</v>
      </c>
      <c r="G638" s="69" t="n">
        <v>12</v>
      </c>
      <c r="H638" s="69" t="n">
        <v>34968</v>
      </c>
      <c r="I638" s="5" t="n">
        <v>4895.52</v>
      </c>
      <c r="J638" s="69" t="n">
        <v>30072.48</v>
      </c>
      <c r="K638" s="69" t="n">
        <v>8742</v>
      </c>
      <c r="L638" s="69" t="n">
        <v>21330.48</v>
      </c>
      <c r="M638" s="1" t="n">
        <v>41649</v>
      </c>
      <c r="N638" t="n">
        <v>10</v>
      </c>
      <c r="O638" t="inlineStr">
        <is>
          <t xml:space="preserve"> October </t>
        </is>
      </c>
      <c r="P638" t="n">
        <v>2014</v>
      </c>
      <c r="Q638">
        <f>IF(Financials[[#This Row],[ Units_Sold ]]&lt;&gt;INT(Financials[[#This Row],[ Units_Sold ]]),1,0)</f>
        <v/>
      </c>
      <c r="R638" s="10">
        <f>Financials[[#This Row],[ Profit ]]/Financials[[#This Row],[  Sales ]]</f>
        <v/>
      </c>
      <c r="S638" s="2">
        <f>Financials[[#This Row],[ COGS ]]/Financials[[#This Row],[  Sales ]]</f>
        <v/>
      </c>
      <c r="T638" s="3">
        <f>Financials[[#This Row],[ Discounts ]]/Financials[[#This Row],[  Sales ]]</f>
        <v/>
      </c>
      <c r="U638">
        <f>Financials[[#This Row],[  Sales ]]/Financials[[#This Row],[ Units_Sold ]]</f>
        <v/>
      </c>
      <c r="V638">
        <f>Financials[[#This Row],[ Profit ]]/Financials[[#This Row],[ Units_Sold ]]</f>
        <v/>
      </c>
      <c r="W638">
        <f>IF(Financials[[#This Row],[ Profit ]]&lt;0,1,0)</f>
        <v/>
      </c>
    </row>
    <row r="639">
      <c r="A639" t="inlineStr">
        <is>
          <t>Government</t>
        </is>
      </c>
      <c r="B639" t="inlineStr">
        <is>
          <t>France</t>
        </is>
      </c>
      <c r="C639" t="inlineStr">
        <is>
          <t xml:space="preserve"> Paseo </t>
        </is>
      </c>
      <c r="D639" t="inlineStr">
        <is>
          <t xml:space="preserve"> High </t>
        </is>
      </c>
      <c r="E639" t="n">
        <v>1731</v>
      </c>
      <c r="F639" s="69" t="n">
        <v>10</v>
      </c>
      <c r="G639" s="69" t="n">
        <v>7</v>
      </c>
      <c r="H639" s="69" t="n">
        <v>12117</v>
      </c>
      <c r="I639" s="5" t="n">
        <v>1696.38</v>
      </c>
      <c r="J639" s="69" t="n">
        <v>10420.62</v>
      </c>
      <c r="K639" s="69" t="n">
        <v>8655</v>
      </c>
      <c r="L639" s="69" t="n">
        <v>1765.62</v>
      </c>
      <c r="M639" s="1" t="n">
        <v>41649</v>
      </c>
      <c r="N639" t="n">
        <v>10</v>
      </c>
      <c r="O639" t="inlineStr">
        <is>
          <t xml:space="preserve"> October </t>
        </is>
      </c>
      <c r="P639" t="n">
        <v>2014</v>
      </c>
      <c r="Q639">
        <f>IF(Financials[[#This Row],[ Units_Sold ]]&lt;&gt;INT(Financials[[#This Row],[ Units_Sold ]]),1,0)</f>
        <v/>
      </c>
      <c r="R639" s="10">
        <f>Financials[[#This Row],[ Profit ]]/Financials[[#This Row],[  Sales ]]</f>
        <v/>
      </c>
      <c r="S639" s="2">
        <f>Financials[[#This Row],[ COGS ]]/Financials[[#This Row],[  Sales ]]</f>
        <v/>
      </c>
      <c r="T639" s="3">
        <f>Financials[[#This Row],[ Discounts ]]/Financials[[#This Row],[  Sales ]]</f>
        <v/>
      </c>
      <c r="U639">
        <f>Financials[[#This Row],[  Sales ]]/Financials[[#This Row],[ Units_Sold ]]</f>
        <v/>
      </c>
      <c r="V639">
        <f>Financials[[#This Row],[ Profit ]]/Financials[[#This Row],[ Units_Sold ]]</f>
        <v/>
      </c>
      <c r="W639">
        <f>IF(Financials[[#This Row],[ Profit ]]&lt;0,1,0)</f>
        <v/>
      </c>
    </row>
    <row r="640">
      <c r="A640" t="inlineStr">
        <is>
          <t>Government</t>
        </is>
      </c>
      <c r="B640" t="inlineStr">
        <is>
          <t>Canada</t>
        </is>
      </c>
      <c r="C640" t="inlineStr">
        <is>
          <t xml:space="preserve"> Paseo </t>
        </is>
      </c>
      <c r="D640" t="inlineStr">
        <is>
          <t xml:space="preserve"> High </t>
        </is>
      </c>
      <c r="E640" t="n">
        <v>700</v>
      </c>
      <c r="F640" s="69" t="n">
        <v>10</v>
      </c>
      <c r="G640" s="69" t="n">
        <v>350</v>
      </c>
      <c r="H640" s="69" t="n">
        <v>245000</v>
      </c>
      <c r="I640" s="5" t="n">
        <v>34300</v>
      </c>
      <c r="J640" s="69" t="n">
        <v>210700</v>
      </c>
      <c r="K640" s="69" t="n">
        <v>182000</v>
      </c>
      <c r="L640" s="69" t="n">
        <v>28700</v>
      </c>
      <c r="M640" s="1" t="n">
        <v>41650</v>
      </c>
      <c r="N640" t="n">
        <v>11</v>
      </c>
      <c r="O640" t="inlineStr">
        <is>
          <t xml:space="preserve"> November </t>
        </is>
      </c>
      <c r="P640" t="n">
        <v>2014</v>
      </c>
      <c r="Q640">
        <f>IF(Financials[[#This Row],[ Units_Sold ]]&lt;&gt;INT(Financials[[#This Row],[ Units_Sold ]]),1,0)</f>
        <v/>
      </c>
      <c r="R640" s="10">
        <f>Financials[[#This Row],[ Profit ]]/Financials[[#This Row],[  Sales ]]</f>
        <v/>
      </c>
      <c r="S640" s="2">
        <f>Financials[[#This Row],[ COGS ]]/Financials[[#This Row],[  Sales ]]</f>
        <v/>
      </c>
      <c r="T640" s="3">
        <f>Financials[[#This Row],[ Discounts ]]/Financials[[#This Row],[  Sales ]]</f>
        <v/>
      </c>
      <c r="U640">
        <f>Financials[[#This Row],[  Sales ]]/Financials[[#This Row],[ Units_Sold ]]</f>
        <v/>
      </c>
      <c r="V640">
        <f>Financials[[#This Row],[ Profit ]]/Financials[[#This Row],[ Units_Sold ]]</f>
        <v/>
      </c>
      <c r="W640">
        <f>IF(Financials[[#This Row],[ Profit ]]&lt;0,1,0)</f>
        <v/>
      </c>
    </row>
    <row r="641">
      <c r="A641" t="inlineStr">
        <is>
          <t>Channel Partners</t>
        </is>
      </c>
      <c r="B641" t="inlineStr">
        <is>
          <t>Canada</t>
        </is>
      </c>
      <c r="C641" t="inlineStr">
        <is>
          <t xml:space="preserve"> Paseo </t>
        </is>
      </c>
      <c r="D641" t="inlineStr">
        <is>
          <t xml:space="preserve"> High </t>
        </is>
      </c>
      <c r="E641" t="n">
        <v>2222</v>
      </c>
      <c r="F641" s="69" t="n">
        <v>10</v>
      </c>
      <c r="G641" s="69" t="n">
        <v>12</v>
      </c>
      <c r="H641" s="69" t="n">
        <v>26664</v>
      </c>
      <c r="I641" s="5" t="n">
        <v>3732.96</v>
      </c>
      <c r="J641" s="69" t="n">
        <v>22931.04</v>
      </c>
      <c r="K641" s="69" t="n">
        <v>6666</v>
      </c>
      <c r="L641" s="69" t="n">
        <v>16265.04</v>
      </c>
      <c r="M641" s="1" t="n">
        <v>41285</v>
      </c>
      <c r="N641" t="n">
        <v>11</v>
      </c>
      <c r="O641" t="inlineStr">
        <is>
          <t xml:space="preserve"> November </t>
        </is>
      </c>
      <c r="P641" t="n">
        <v>2013</v>
      </c>
      <c r="Q641">
        <f>IF(Financials[[#This Row],[ Units_Sold ]]&lt;&gt;INT(Financials[[#This Row],[ Units_Sold ]]),1,0)</f>
        <v/>
      </c>
      <c r="R641" s="10">
        <f>Financials[[#This Row],[ Profit ]]/Financials[[#This Row],[  Sales ]]</f>
        <v/>
      </c>
      <c r="S641" s="2">
        <f>Financials[[#This Row],[ COGS ]]/Financials[[#This Row],[  Sales ]]</f>
        <v/>
      </c>
      <c r="T641" s="3">
        <f>Financials[[#This Row],[ Discounts ]]/Financials[[#This Row],[  Sales ]]</f>
        <v/>
      </c>
      <c r="U641">
        <f>Financials[[#This Row],[  Sales ]]/Financials[[#This Row],[ Units_Sold ]]</f>
        <v/>
      </c>
      <c r="V641">
        <f>Financials[[#This Row],[ Profit ]]/Financials[[#This Row],[ Units_Sold ]]</f>
        <v/>
      </c>
      <c r="W641">
        <f>IF(Financials[[#This Row],[ Profit ]]&lt;0,1,0)</f>
        <v/>
      </c>
    </row>
    <row r="642">
      <c r="A642" t="inlineStr">
        <is>
          <t>Government</t>
        </is>
      </c>
      <c r="B642" t="inlineStr">
        <is>
          <t>United States of America</t>
        </is>
      </c>
      <c r="C642" t="inlineStr">
        <is>
          <t xml:space="preserve"> Paseo </t>
        </is>
      </c>
      <c r="D642" t="inlineStr">
        <is>
          <t xml:space="preserve"> High </t>
        </is>
      </c>
      <c r="E642" t="n">
        <v>1177</v>
      </c>
      <c r="F642" s="69" t="n">
        <v>10</v>
      </c>
      <c r="G642" s="69" t="n">
        <v>350</v>
      </c>
      <c r="H642" s="69" t="n">
        <v>411950</v>
      </c>
      <c r="I642" s="5" t="n">
        <v>57673</v>
      </c>
      <c r="J642" s="69" t="n">
        <v>354277</v>
      </c>
      <c r="K642" s="69" t="n">
        <v>306020</v>
      </c>
      <c r="L642" s="69" t="n">
        <v>48257</v>
      </c>
      <c r="M642" s="1" t="n">
        <v>41650</v>
      </c>
      <c r="N642" t="n">
        <v>11</v>
      </c>
      <c r="O642" t="inlineStr">
        <is>
          <t xml:space="preserve"> November </t>
        </is>
      </c>
      <c r="P642" t="n">
        <v>2014</v>
      </c>
      <c r="Q642">
        <f>IF(Financials[[#This Row],[ Units_Sold ]]&lt;&gt;INT(Financials[[#This Row],[ Units_Sold ]]),1,0)</f>
        <v/>
      </c>
      <c r="R642" s="10">
        <f>Financials[[#This Row],[ Profit ]]/Financials[[#This Row],[  Sales ]]</f>
        <v/>
      </c>
      <c r="S642" s="2">
        <f>Financials[[#This Row],[ COGS ]]/Financials[[#This Row],[  Sales ]]</f>
        <v/>
      </c>
      <c r="T642" s="3">
        <f>Financials[[#This Row],[ Discounts ]]/Financials[[#This Row],[  Sales ]]</f>
        <v/>
      </c>
      <c r="U642">
        <f>Financials[[#This Row],[  Sales ]]/Financials[[#This Row],[ Units_Sold ]]</f>
        <v/>
      </c>
      <c r="V642">
        <f>Financials[[#This Row],[ Profit ]]/Financials[[#This Row],[ Units_Sold ]]</f>
        <v/>
      </c>
      <c r="W642">
        <f>IF(Financials[[#This Row],[ Profit ]]&lt;0,1,0)</f>
        <v/>
      </c>
    </row>
    <row r="643">
      <c r="A643" t="inlineStr">
        <is>
          <t>Government</t>
        </is>
      </c>
      <c r="B643" t="inlineStr">
        <is>
          <t>France</t>
        </is>
      </c>
      <c r="C643" t="inlineStr">
        <is>
          <t xml:space="preserve"> Paseo </t>
        </is>
      </c>
      <c r="D643" t="inlineStr">
        <is>
          <t xml:space="preserve"> High </t>
        </is>
      </c>
      <c r="E643" t="n">
        <v>1922</v>
      </c>
      <c r="F643" s="69" t="n">
        <v>10</v>
      </c>
      <c r="G643" s="69" t="n">
        <v>350</v>
      </c>
      <c r="H643" s="69" t="n">
        <v>672700</v>
      </c>
      <c r="I643" s="5" t="n">
        <v>94178</v>
      </c>
      <c r="J643" s="69" t="n">
        <v>578522</v>
      </c>
      <c r="K643" s="69" t="n">
        <v>499720</v>
      </c>
      <c r="L643" s="69" t="n">
        <v>78802</v>
      </c>
      <c r="M643" s="1" t="n">
        <v>41285</v>
      </c>
      <c r="N643" t="n">
        <v>11</v>
      </c>
      <c r="O643" t="inlineStr">
        <is>
          <t xml:space="preserve"> November </t>
        </is>
      </c>
      <c r="P643" t="n">
        <v>2013</v>
      </c>
      <c r="Q643">
        <f>IF(Financials[[#This Row],[ Units_Sold ]]&lt;&gt;INT(Financials[[#This Row],[ Units_Sold ]]),1,0)</f>
        <v/>
      </c>
      <c r="R643" s="10">
        <f>Financials[[#This Row],[ Profit ]]/Financials[[#This Row],[  Sales ]]</f>
        <v/>
      </c>
      <c r="S643" s="2">
        <f>Financials[[#This Row],[ COGS ]]/Financials[[#This Row],[  Sales ]]</f>
        <v/>
      </c>
      <c r="T643" s="3">
        <f>Financials[[#This Row],[ Discounts ]]/Financials[[#This Row],[  Sales ]]</f>
        <v/>
      </c>
      <c r="U643">
        <f>Financials[[#This Row],[  Sales ]]/Financials[[#This Row],[ Units_Sold ]]</f>
        <v/>
      </c>
      <c r="V643">
        <f>Financials[[#This Row],[ Profit ]]/Financials[[#This Row],[ Units_Sold ]]</f>
        <v/>
      </c>
      <c r="W643">
        <f>IF(Financials[[#This Row],[ Profit ]]&lt;0,1,0)</f>
        <v/>
      </c>
    </row>
    <row r="644">
      <c r="A644" t="inlineStr">
        <is>
          <t>Enterprise</t>
        </is>
      </c>
      <c r="B644" t="inlineStr">
        <is>
          <t>Mexico</t>
        </is>
      </c>
      <c r="C644" t="inlineStr">
        <is>
          <t xml:space="preserve"> Velo </t>
        </is>
      </c>
      <c r="D644" t="inlineStr">
        <is>
          <t xml:space="preserve"> High </t>
        </is>
      </c>
      <c r="E644" t="n">
        <v>1575</v>
      </c>
      <c r="F644" s="69" t="n">
        <v>120</v>
      </c>
      <c r="G644" s="69" t="n">
        <v>125</v>
      </c>
      <c r="H644" s="69" t="n">
        <v>196875</v>
      </c>
      <c r="I644" s="5" t="n">
        <v>27562.5</v>
      </c>
      <c r="J644" s="69" t="n">
        <v>169312.5</v>
      </c>
      <c r="K644" s="69" t="n">
        <v>189000</v>
      </c>
      <c r="L644" s="69" t="n">
        <v>-19687.5</v>
      </c>
      <c r="M644" s="1" t="n">
        <v>41641</v>
      </c>
      <c r="N644" t="n">
        <v>2</v>
      </c>
      <c r="O644" t="inlineStr">
        <is>
          <t xml:space="preserve"> February </t>
        </is>
      </c>
      <c r="P644" t="n">
        <v>2014</v>
      </c>
      <c r="Q644">
        <f>IF(Financials[[#This Row],[ Units_Sold ]]&lt;&gt;INT(Financials[[#This Row],[ Units_Sold ]]),1,0)</f>
        <v/>
      </c>
      <c r="R644" s="10">
        <f>Financials[[#This Row],[ Profit ]]/Financials[[#This Row],[  Sales ]]</f>
        <v/>
      </c>
      <c r="S644" s="2">
        <f>Financials[[#This Row],[ COGS ]]/Financials[[#This Row],[  Sales ]]</f>
        <v/>
      </c>
      <c r="T644" s="3">
        <f>Financials[[#This Row],[ Discounts ]]/Financials[[#This Row],[  Sales ]]</f>
        <v/>
      </c>
      <c r="U644">
        <f>Financials[[#This Row],[  Sales ]]/Financials[[#This Row],[ Units_Sold ]]</f>
        <v/>
      </c>
      <c r="V644">
        <f>Financials[[#This Row],[ Profit ]]/Financials[[#This Row],[ Units_Sold ]]</f>
        <v/>
      </c>
      <c r="W644">
        <f>IF(Financials[[#This Row],[ Profit ]]&lt;0,1,0)</f>
        <v/>
      </c>
    </row>
    <row r="645">
      <c r="A645" t="inlineStr">
        <is>
          <t>Government</t>
        </is>
      </c>
      <c r="B645" t="inlineStr">
        <is>
          <t>United States of America</t>
        </is>
      </c>
      <c r="C645" t="inlineStr">
        <is>
          <t xml:space="preserve"> Velo </t>
        </is>
      </c>
      <c r="D645" t="inlineStr">
        <is>
          <t xml:space="preserve"> High </t>
        </is>
      </c>
      <c r="E645" t="n">
        <v>606</v>
      </c>
      <c r="F645" s="69" t="n">
        <v>120</v>
      </c>
      <c r="G645" s="69" t="n">
        <v>20</v>
      </c>
      <c r="H645" s="69" t="n">
        <v>12120</v>
      </c>
      <c r="I645" s="5" t="n">
        <v>1696.8</v>
      </c>
      <c r="J645" s="69" t="n">
        <v>10423.2</v>
      </c>
      <c r="K645" s="69" t="n">
        <v>6060</v>
      </c>
      <c r="L645" s="69" t="n">
        <v>4363.2</v>
      </c>
      <c r="M645" s="1" t="n">
        <v>41643</v>
      </c>
      <c r="N645" t="n">
        <v>4</v>
      </c>
      <c r="O645" t="inlineStr">
        <is>
          <t xml:space="preserve"> April </t>
        </is>
      </c>
      <c r="P645" t="n">
        <v>2014</v>
      </c>
      <c r="Q645">
        <f>IF(Financials[[#This Row],[ Units_Sold ]]&lt;&gt;INT(Financials[[#This Row],[ Units_Sold ]]),1,0)</f>
        <v/>
      </c>
      <c r="R645" s="10">
        <f>Financials[[#This Row],[ Profit ]]/Financials[[#This Row],[  Sales ]]</f>
        <v/>
      </c>
      <c r="S645" s="2">
        <f>Financials[[#This Row],[ COGS ]]/Financials[[#This Row],[  Sales ]]</f>
        <v/>
      </c>
      <c r="T645" s="3">
        <f>Financials[[#This Row],[ Discounts ]]/Financials[[#This Row],[  Sales ]]</f>
        <v/>
      </c>
      <c r="U645">
        <f>Financials[[#This Row],[  Sales ]]/Financials[[#This Row],[ Units_Sold ]]</f>
        <v/>
      </c>
      <c r="V645">
        <f>Financials[[#This Row],[ Profit ]]/Financials[[#This Row],[ Units_Sold ]]</f>
        <v/>
      </c>
      <c r="W645">
        <f>IF(Financials[[#This Row],[ Profit ]]&lt;0,1,0)</f>
        <v/>
      </c>
    </row>
    <row r="646">
      <c r="A646" t="inlineStr">
        <is>
          <t>Small Business</t>
        </is>
      </c>
      <c r="B646" t="inlineStr">
        <is>
          <t>United States of America</t>
        </is>
      </c>
      <c r="C646" t="inlineStr">
        <is>
          <t xml:space="preserve"> Velo </t>
        </is>
      </c>
      <c r="D646" t="inlineStr">
        <is>
          <t xml:space="preserve"> High </t>
        </is>
      </c>
      <c r="E646" t="n">
        <v>2460</v>
      </c>
      <c r="F646" s="69" t="n">
        <v>120</v>
      </c>
      <c r="G646" s="69" t="n">
        <v>300</v>
      </c>
      <c r="H646" s="69" t="n">
        <v>738000</v>
      </c>
      <c r="I646" s="5" t="n">
        <v>103320</v>
      </c>
      <c r="J646" s="69" t="n">
        <v>634680</v>
      </c>
      <c r="K646" s="69" t="n">
        <v>615000</v>
      </c>
      <c r="L646" s="69" t="n">
        <v>19680</v>
      </c>
      <c r="M646" s="1" t="n">
        <v>41646</v>
      </c>
      <c r="N646" t="n">
        <v>7</v>
      </c>
      <c r="O646" t="inlineStr">
        <is>
          <t xml:space="preserve"> July </t>
        </is>
      </c>
      <c r="P646" t="n">
        <v>2014</v>
      </c>
      <c r="Q646">
        <f>IF(Financials[[#This Row],[ Units_Sold ]]&lt;&gt;INT(Financials[[#This Row],[ Units_Sold ]]),1,0)</f>
        <v/>
      </c>
      <c r="R646" s="10">
        <f>Financials[[#This Row],[ Profit ]]/Financials[[#This Row],[  Sales ]]</f>
        <v/>
      </c>
      <c r="S646" s="2">
        <f>Financials[[#This Row],[ COGS ]]/Financials[[#This Row],[  Sales ]]</f>
        <v/>
      </c>
      <c r="T646" s="3">
        <f>Financials[[#This Row],[ Discounts ]]/Financials[[#This Row],[  Sales ]]</f>
        <v/>
      </c>
      <c r="U646">
        <f>Financials[[#This Row],[  Sales ]]/Financials[[#This Row],[ Units_Sold ]]</f>
        <v/>
      </c>
      <c r="V646">
        <f>Financials[[#This Row],[ Profit ]]/Financials[[#This Row],[ Units_Sold ]]</f>
        <v/>
      </c>
      <c r="W646">
        <f>IF(Financials[[#This Row],[ Profit ]]&lt;0,1,0)</f>
        <v/>
      </c>
    </row>
    <row r="647">
      <c r="A647" t="inlineStr">
        <is>
          <t>Small Business</t>
        </is>
      </c>
      <c r="B647" t="inlineStr">
        <is>
          <t>Canada</t>
        </is>
      </c>
      <c r="C647" t="inlineStr">
        <is>
          <t xml:space="preserve"> Velo </t>
        </is>
      </c>
      <c r="D647" t="inlineStr">
        <is>
          <t xml:space="preserve"> High </t>
        </is>
      </c>
      <c r="E647" t="n">
        <v>269</v>
      </c>
      <c r="F647" s="69" t="n">
        <v>120</v>
      </c>
      <c r="G647" s="69" t="n">
        <v>300</v>
      </c>
      <c r="H647" s="69" t="n">
        <v>80700</v>
      </c>
      <c r="I647" s="5" t="n">
        <v>11298</v>
      </c>
      <c r="J647" s="69" t="n">
        <v>69402</v>
      </c>
      <c r="K647" s="69" t="n">
        <v>67250</v>
      </c>
      <c r="L647" s="69" t="n">
        <v>2152</v>
      </c>
      <c r="M647" s="1" t="n">
        <v>41284</v>
      </c>
      <c r="N647" t="n">
        <v>10</v>
      </c>
      <c r="O647" t="inlineStr">
        <is>
          <t xml:space="preserve"> October </t>
        </is>
      </c>
      <c r="P647" t="n">
        <v>2013</v>
      </c>
      <c r="Q647">
        <f>IF(Financials[[#This Row],[ Units_Sold ]]&lt;&gt;INT(Financials[[#This Row],[ Units_Sold ]]),1,0)</f>
        <v/>
      </c>
      <c r="R647" s="10">
        <f>Financials[[#This Row],[ Profit ]]/Financials[[#This Row],[  Sales ]]</f>
        <v/>
      </c>
      <c r="S647" s="2">
        <f>Financials[[#This Row],[ COGS ]]/Financials[[#This Row],[  Sales ]]</f>
        <v/>
      </c>
      <c r="T647" s="3">
        <f>Financials[[#This Row],[ Discounts ]]/Financials[[#This Row],[  Sales ]]</f>
        <v/>
      </c>
      <c r="U647">
        <f>Financials[[#This Row],[  Sales ]]/Financials[[#This Row],[ Units_Sold ]]</f>
        <v/>
      </c>
      <c r="V647">
        <f>Financials[[#This Row],[ Profit ]]/Financials[[#This Row],[ Units_Sold ]]</f>
        <v/>
      </c>
      <c r="W647">
        <f>IF(Financials[[#This Row],[ Profit ]]&lt;0,1,0)</f>
        <v/>
      </c>
    </row>
    <row r="648">
      <c r="A648" t="inlineStr">
        <is>
          <t>Small Business</t>
        </is>
      </c>
      <c r="B648" t="inlineStr">
        <is>
          <t>Germany</t>
        </is>
      </c>
      <c r="C648" t="inlineStr">
        <is>
          <t xml:space="preserve"> Velo </t>
        </is>
      </c>
      <c r="D648" t="inlineStr">
        <is>
          <t xml:space="preserve"> High </t>
        </is>
      </c>
      <c r="E648" t="n">
        <v>2536</v>
      </c>
      <c r="F648" s="69" t="n">
        <v>120</v>
      </c>
      <c r="G648" s="69" t="n">
        <v>300</v>
      </c>
      <c r="H648" s="69" t="n">
        <v>760800</v>
      </c>
      <c r="I648" s="5" t="n">
        <v>106512</v>
      </c>
      <c r="J648" s="69" t="n">
        <v>654288</v>
      </c>
      <c r="K648" s="69" t="n">
        <v>634000</v>
      </c>
      <c r="L648" s="69" t="n">
        <v>20288</v>
      </c>
      <c r="M648" s="1" t="n">
        <v>41285</v>
      </c>
      <c r="N648" t="n">
        <v>11</v>
      </c>
      <c r="O648" t="inlineStr">
        <is>
          <t xml:space="preserve"> November </t>
        </is>
      </c>
      <c r="P648" t="n">
        <v>2013</v>
      </c>
      <c r="Q648">
        <f>IF(Financials[[#This Row],[ Units_Sold ]]&lt;&gt;INT(Financials[[#This Row],[ Units_Sold ]]),1,0)</f>
        <v/>
      </c>
      <c r="R648" s="10">
        <f>Financials[[#This Row],[ Profit ]]/Financials[[#This Row],[  Sales ]]</f>
        <v/>
      </c>
      <c r="S648" s="2">
        <f>Financials[[#This Row],[ COGS ]]/Financials[[#This Row],[  Sales ]]</f>
        <v/>
      </c>
      <c r="T648" s="3">
        <f>Financials[[#This Row],[ Discounts ]]/Financials[[#This Row],[  Sales ]]</f>
        <v/>
      </c>
      <c r="U648">
        <f>Financials[[#This Row],[  Sales ]]/Financials[[#This Row],[ Units_Sold ]]</f>
        <v/>
      </c>
      <c r="V648">
        <f>Financials[[#This Row],[ Profit ]]/Financials[[#This Row],[ Units_Sold ]]</f>
        <v/>
      </c>
      <c r="W648">
        <f>IF(Financials[[#This Row],[ Profit ]]&lt;0,1,0)</f>
        <v/>
      </c>
    </row>
    <row r="649">
      <c r="A649" t="inlineStr">
        <is>
          <t>Government</t>
        </is>
      </c>
      <c r="B649" t="inlineStr">
        <is>
          <t>Mexico</t>
        </is>
      </c>
      <c r="C649" t="inlineStr">
        <is>
          <t xml:space="preserve"> VTT </t>
        </is>
      </c>
      <c r="D649" t="inlineStr">
        <is>
          <t xml:space="preserve"> High </t>
        </is>
      </c>
      <c r="E649" t="n">
        <v>2903</v>
      </c>
      <c r="F649" s="69" t="n">
        <v>250</v>
      </c>
      <c r="G649" s="69" t="n">
        <v>7</v>
      </c>
      <c r="H649" s="69" t="n">
        <v>20321</v>
      </c>
      <c r="I649" s="5" t="n">
        <v>2844.94</v>
      </c>
      <c r="J649" s="69" t="n">
        <v>17476.06</v>
      </c>
      <c r="K649" s="69" t="n">
        <v>14515</v>
      </c>
      <c r="L649" s="69" t="n">
        <v>2961.06</v>
      </c>
      <c r="M649" s="1" t="n">
        <v>41642</v>
      </c>
      <c r="N649" t="n">
        <v>3</v>
      </c>
      <c r="O649" t="inlineStr">
        <is>
          <t xml:space="preserve"> March </t>
        </is>
      </c>
      <c r="P649" t="n">
        <v>2014</v>
      </c>
      <c r="Q649">
        <f>IF(Financials[[#This Row],[ Units_Sold ]]&lt;&gt;INT(Financials[[#This Row],[ Units_Sold ]]),1,0)</f>
        <v/>
      </c>
      <c r="R649" s="10">
        <f>Financials[[#This Row],[ Profit ]]/Financials[[#This Row],[  Sales ]]</f>
        <v/>
      </c>
      <c r="S649" s="2">
        <f>Financials[[#This Row],[ COGS ]]/Financials[[#This Row],[  Sales ]]</f>
        <v/>
      </c>
      <c r="T649" s="3">
        <f>Financials[[#This Row],[ Discounts ]]/Financials[[#This Row],[  Sales ]]</f>
        <v/>
      </c>
      <c r="U649">
        <f>Financials[[#This Row],[  Sales ]]/Financials[[#This Row],[ Units_Sold ]]</f>
        <v/>
      </c>
      <c r="V649">
        <f>Financials[[#This Row],[ Profit ]]/Financials[[#This Row],[ Units_Sold ]]</f>
        <v/>
      </c>
      <c r="W649">
        <f>IF(Financials[[#This Row],[ Profit ]]&lt;0,1,0)</f>
        <v/>
      </c>
    </row>
    <row r="650">
      <c r="A650" t="inlineStr">
        <is>
          <t>Small Business</t>
        </is>
      </c>
      <c r="B650" t="inlineStr">
        <is>
          <t>United States of America</t>
        </is>
      </c>
      <c r="C650" t="inlineStr">
        <is>
          <t xml:space="preserve"> VTT </t>
        </is>
      </c>
      <c r="D650" t="inlineStr">
        <is>
          <t xml:space="preserve"> High </t>
        </is>
      </c>
      <c r="E650" t="n">
        <v>2541</v>
      </c>
      <c r="F650" s="69" t="n">
        <v>250</v>
      </c>
      <c r="G650" s="69" t="n">
        <v>300</v>
      </c>
      <c r="H650" s="69" t="n">
        <v>762300</v>
      </c>
      <c r="I650" s="5" t="n">
        <v>106722</v>
      </c>
      <c r="J650" s="69" t="n">
        <v>655578</v>
      </c>
      <c r="K650" s="69" t="n">
        <v>635250</v>
      </c>
      <c r="L650" s="69" t="n">
        <v>20328</v>
      </c>
      <c r="M650" s="1" t="n">
        <v>41647</v>
      </c>
      <c r="N650" t="n">
        <v>8</v>
      </c>
      <c r="O650" t="inlineStr">
        <is>
          <t xml:space="preserve"> August </t>
        </is>
      </c>
      <c r="P650" t="n">
        <v>2014</v>
      </c>
      <c r="Q650">
        <f>IF(Financials[[#This Row],[ Units_Sold ]]&lt;&gt;INT(Financials[[#This Row],[ Units_Sold ]]),1,0)</f>
        <v/>
      </c>
      <c r="R650" s="10">
        <f>Financials[[#This Row],[ Profit ]]/Financials[[#This Row],[  Sales ]]</f>
        <v/>
      </c>
      <c r="S650" s="2">
        <f>Financials[[#This Row],[ COGS ]]/Financials[[#This Row],[  Sales ]]</f>
        <v/>
      </c>
      <c r="T650" s="3">
        <f>Financials[[#This Row],[ Discounts ]]/Financials[[#This Row],[  Sales ]]</f>
        <v/>
      </c>
      <c r="U650">
        <f>Financials[[#This Row],[  Sales ]]/Financials[[#This Row],[ Units_Sold ]]</f>
        <v/>
      </c>
      <c r="V650">
        <f>Financials[[#This Row],[ Profit ]]/Financials[[#This Row],[ Units_Sold ]]</f>
        <v/>
      </c>
      <c r="W650">
        <f>IF(Financials[[#This Row],[ Profit ]]&lt;0,1,0)</f>
        <v/>
      </c>
    </row>
    <row r="651">
      <c r="A651" t="inlineStr">
        <is>
          <t>Small Business</t>
        </is>
      </c>
      <c r="B651" t="inlineStr">
        <is>
          <t>Canada</t>
        </is>
      </c>
      <c r="C651" t="inlineStr">
        <is>
          <t xml:space="preserve"> VTT </t>
        </is>
      </c>
      <c r="D651" t="inlineStr">
        <is>
          <t xml:space="preserve"> High </t>
        </is>
      </c>
      <c r="E651" t="n">
        <v>269</v>
      </c>
      <c r="F651" s="69" t="n">
        <v>250</v>
      </c>
      <c r="G651" s="69" t="n">
        <v>300</v>
      </c>
      <c r="H651" s="69" t="n">
        <v>80700</v>
      </c>
      <c r="I651" s="5" t="n">
        <v>11298</v>
      </c>
      <c r="J651" s="69" t="n">
        <v>69402</v>
      </c>
      <c r="K651" s="69" t="n">
        <v>67250</v>
      </c>
      <c r="L651" s="69" t="n">
        <v>2152</v>
      </c>
      <c r="M651" s="1" t="n">
        <v>41284</v>
      </c>
      <c r="N651" t="n">
        <v>10</v>
      </c>
      <c r="O651" t="inlineStr">
        <is>
          <t xml:space="preserve"> October </t>
        </is>
      </c>
      <c r="P651" t="n">
        <v>2013</v>
      </c>
      <c r="Q651">
        <f>IF(Financials[[#This Row],[ Units_Sold ]]&lt;&gt;INT(Financials[[#This Row],[ Units_Sold ]]),1,0)</f>
        <v/>
      </c>
      <c r="R651" s="10">
        <f>Financials[[#This Row],[ Profit ]]/Financials[[#This Row],[  Sales ]]</f>
        <v/>
      </c>
      <c r="S651" s="2">
        <f>Financials[[#This Row],[ COGS ]]/Financials[[#This Row],[  Sales ]]</f>
        <v/>
      </c>
      <c r="T651" s="3">
        <f>Financials[[#This Row],[ Discounts ]]/Financials[[#This Row],[  Sales ]]</f>
        <v/>
      </c>
      <c r="U651">
        <f>Financials[[#This Row],[  Sales ]]/Financials[[#This Row],[ Units_Sold ]]</f>
        <v/>
      </c>
      <c r="V651">
        <f>Financials[[#This Row],[ Profit ]]/Financials[[#This Row],[ Units_Sold ]]</f>
        <v/>
      </c>
      <c r="W651">
        <f>IF(Financials[[#This Row],[ Profit ]]&lt;0,1,0)</f>
        <v/>
      </c>
    </row>
    <row r="652">
      <c r="A652" t="inlineStr">
        <is>
          <t>Small Business</t>
        </is>
      </c>
      <c r="B652" t="inlineStr">
        <is>
          <t>Canada</t>
        </is>
      </c>
      <c r="C652" t="inlineStr">
        <is>
          <t xml:space="preserve"> VTT </t>
        </is>
      </c>
      <c r="D652" t="inlineStr">
        <is>
          <t xml:space="preserve"> High </t>
        </is>
      </c>
      <c r="E652" t="n">
        <v>1496</v>
      </c>
      <c r="F652" s="69" t="n">
        <v>250</v>
      </c>
      <c r="G652" s="69" t="n">
        <v>300</v>
      </c>
      <c r="H652" s="69" t="n">
        <v>448800</v>
      </c>
      <c r="I652" s="5" t="n">
        <v>62832</v>
      </c>
      <c r="J652" s="69" t="n">
        <v>385968</v>
      </c>
      <c r="K652" s="69" t="n">
        <v>374000</v>
      </c>
      <c r="L652" s="69" t="n">
        <v>11968</v>
      </c>
      <c r="M652" s="1" t="n">
        <v>41649</v>
      </c>
      <c r="N652" t="n">
        <v>10</v>
      </c>
      <c r="O652" t="inlineStr">
        <is>
          <t xml:space="preserve"> October </t>
        </is>
      </c>
      <c r="P652" t="n">
        <v>2014</v>
      </c>
      <c r="Q652">
        <f>IF(Financials[[#This Row],[ Units_Sold ]]&lt;&gt;INT(Financials[[#This Row],[ Units_Sold ]]),1,0)</f>
        <v/>
      </c>
      <c r="R652" s="10">
        <f>Financials[[#This Row],[ Profit ]]/Financials[[#This Row],[  Sales ]]</f>
        <v/>
      </c>
      <c r="S652" s="2">
        <f>Financials[[#This Row],[ COGS ]]/Financials[[#This Row],[  Sales ]]</f>
        <v/>
      </c>
      <c r="T652" s="3">
        <f>Financials[[#This Row],[ Discounts ]]/Financials[[#This Row],[  Sales ]]</f>
        <v/>
      </c>
      <c r="U652">
        <f>Financials[[#This Row],[  Sales ]]/Financials[[#This Row],[ Units_Sold ]]</f>
        <v/>
      </c>
      <c r="V652">
        <f>Financials[[#This Row],[ Profit ]]/Financials[[#This Row],[ Units_Sold ]]</f>
        <v/>
      </c>
      <c r="W652">
        <f>IF(Financials[[#This Row],[ Profit ]]&lt;0,1,0)</f>
        <v/>
      </c>
    </row>
    <row r="653">
      <c r="A653" t="inlineStr">
        <is>
          <t>Small Business</t>
        </is>
      </c>
      <c r="B653" t="inlineStr">
        <is>
          <t>United States of America</t>
        </is>
      </c>
      <c r="C653" t="inlineStr">
        <is>
          <t xml:space="preserve"> VTT </t>
        </is>
      </c>
      <c r="D653" t="inlineStr">
        <is>
          <t xml:space="preserve"> High </t>
        </is>
      </c>
      <c r="E653" t="n">
        <v>1010</v>
      </c>
      <c r="F653" s="69" t="n">
        <v>250</v>
      </c>
      <c r="G653" s="69" t="n">
        <v>300</v>
      </c>
      <c r="H653" s="69" t="n">
        <v>303000</v>
      </c>
      <c r="I653" s="5" t="n">
        <v>42420</v>
      </c>
      <c r="J653" s="69" t="n">
        <v>260580</v>
      </c>
      <c r="K653" s="69" t="n">
        <v>252500</v>
      </c>
      <c r="L653" s="69" t="n">
        <v>8080</v>
      </c>
      <c r="M653" s="1" t="n">
        <v>41649</v>
      </c>
      <c r="N653" t="n">
        <v>10</v>
      </c>
      <c r="O653" t="inlineStr">
        <is>
          <t xml:space="preserve"> October </t>
        </is>
      </c>
      <c r="P653" t="n">
        <v>2014</v>
      </c>
      <c r="Q653">
        <f>IF(Financials[[#This Row],[ Units_Sold ]]&lt;&gt;INT(Financials[[#This Row],[ Units_Sold ]]),1,0)</f>
        <v/>
      </c>
      <c r="R653" s="10">
        <f>Financials[[#This Row],[ Profit ]]/Financials[[#This Row],[  Sales ]]</f>
        <v/>
      </c>
      <c r="S653" s="2">
        <f>Financials[[#This Row],[ COGS ]]/Financials[[#This Row],[  Sales ]]</f>
        <v/>
      </c>
      <c r="T653" s="3">
        <f>Financials[[#This Row],[ Discounts ]]/Financials[[#This Row],[  Sales ]]</f>
        <v/>
      </c>
      <c r="U653">
        <f>Financials[[#This Row],[  Sales ]]/Financials[[#This Row],[ Units_Sold ]]</f>
        <v/>
      </c>
      <c r="V653">
        <f>Financials[[#This Row],[ Profit ]]/Financials[[#This Row],[ Units_Sold ]]</f>
        <v/>
      </c>
      <c r="W653">
        <f>IF(Financials[[#This Row],[ Profit ]]&lt;0,1,0)</f>
        <v/>
      </c>
    </row>
    <row r="654">
      <c r="A654" t="inlineStr">
        <is>
          <t>Government</t>
        </is>
      </c>
      <c r="B654" t="inlineStr">
        <is>
          <t>France</t>
        </is>
      </c>
      <c r="C654" t="inlineStr">
        <is>
          <t xml:space="preserve"> VTT </t>
        </is>
      </c>
      <c r="D654" t="inlineStr">
        <is>
          <t xml:space="preserve"> High </t>
        </is>
      </c>
      <c r="E654" t="n">
        <v>1281</v>
      </c>
      <c r="F654" s="69" t="n">
        <v>250</v>
      </c>
      <c r="G654" s="69" t="n">
        <v>350</v>
      </c>
      <c r="H654" s="69" t="n">
        <v>448350</v>
      </c>
      <c r="I654" s="5" t="n">
        <v>62769</v>
      </c>
      <c r="J654" s="69" t="n">
        <v>385581</v>
      </c>
      <c r="K654" s="69" t="n">
        <v>333060</v>
      </c>
      <c r="L654" s="69" t="n">
        <v>52521</v>
      </c>
      <c r="M654" s="1" t="n">
        <v>41286</v>
      </c>
      <c r="N654" t="n">
        <v>12</v>
      </c>
      <c r="O654" t="inlineStr">
        <is>
          <t xml:space="preserve"> December </t>
        </is>
      </c>
      <c r="P654" t="n">
        <v>2013</v>
      </c>
      <c r="Q654">
        <f>IF(Financials[[#This Row],[ Units_Sold ]]&lt;&gt;INT(Financials[[#This Row],[ Units_Sold ]]),1,0)</f>
        <v/>
      </c>
      <c r="R654" s="10">
        <f>Financials[[#This Row],[ Profit ]]/Financials[[#This Row],[  Sales ]]</f>
        <v/>
      </c>
      <c r="S654" s="2">
        <f>Financials[[#This Row],[ COGS ]]/Financials[[#This Row],[  Sales ]]</f>
        <v/>
      </c>
      <c r="T654" s="3">
        <f>Financials[[#This Row],[ Discounts ]]/Financials[[#This Row],[  Sales ]]</f>
        <v/>
      </c>
      <c r="U654">
        <f>Financials[[#This Row],[  Sales ]]/Financials[[#This Row],[ Units_Sold ]]</f>
        <v/>
      </c>
      <c r="V654">
        <f>Financials[[#This Row],[ Profit ]]/Financials[[#This Row],[ Units_Sold ]]</f>
        <v/>
      </c>
      <c r="W654">
        <f>IF(Financials[[#This Row],[ Profit ]]&lt;0,1,0)</f>
        <v/>
      </c>
    </row>
    <row r="655">
      <c r="A655" t="inlineStr">
        <is>
          <t>Small Business</t>
        </is>
      </c>
      <c r="B655" t="inlineStr">
        <is>
          <t>Canada</t>
        </is>
      </c>
      <c r="C655" t="inlineStr">
        <is>
          <t xml:space="preserve"> Amarilla </t>
        </is>
      </c>
      <c r="D655" t="inlineStr">
        <is>
          <t xml:space="preserve"> High </t>
        </is>
      </c>
      <c r="E655" t="n">
        <v>888</v>
      </c>
      <c r="F655" s="69" t="n">
        <v>260</v>
      </c>
      <c r="G655" s="69" t="n">
        <v>300</v>
      </c>
      <c r="H655" s="69" t="n">
        <v>266400</v>
      </c>
      <c r="I655" s="5" t="n">
        <v>37296</v>
      </c>
      <c r="J655" s="69" t="n">
        <v>229104</v>
      </c>
      <c r="K655" s="69" t="n">
        <v>222000</v>
      </c>
      <c r="L655" s="69" t="n">
        <v>7104</v>
      </c>
      <c r="M655" s="1" t="n">
        <v>41642</v>
      </c>
      <c r="N655" t="n">
        <v>3</v>
      </c>
      <c r="O655" t="inlineStr">
        <is>
          <t xml:space="preserve"> March </t>
        </is>
      </c>
      <c r="P655" t="n">
        <v>2014</v>
      </c>
      <c r="Q655">
        <f>IF(Financials[[#This Row],[ Units_Sold ]]&lt;&gt;INT(Financials[[#This Row],[ Units_Sold ]]),1,0)</f>
        <v/>
      </c>
      <c r="R655" s="10">
        <f>Financials[[#This Row],[ Profit ]]/Financials[[#This Row],[  Sales ]]</f>
        <v/>
      </c>
      <c r="S655" s="2">
        <f>Financials[[#This Row],[ COGS ]]/Financials[[#This Row],[  Sales ]]</f>
        <v/>
      </c>
      <c r="T655" s="3">
        <f>Financials[[#This Row],[ Discounts ]]/Financials[[#This Row],[  Sales ]]</f>
        <v/>
      </c>
      <c r="U655">
        <f>Financials[[#This Row],[  Sales ]]/Financials[[#This Row],[ Units_Sold ]]</f>
        <v/>
      </c>
      <c r="V655">
        <f>Financials[[#This Row],[ Profit ]]/Financials[[#This Row],[ Units_Sold ]]</f>
        <v/>
      </c>
      <c r="W655">
        <f>IF(Financials[[#This Row],[ Profit ]]&lt;0,1,0)</f>
        <v/>
      </c>
    </row>
    <row r="656">
      <c r="A656" t="inlineStr">
        <is>
          <t>Enterprise</t>
        </is>
      </c>
      <c r="B656" t="inlineStr">
        <is>
          <t>United States of America</t>
        </is>
      </c>
      <c r="C656" t="inlineStr">
        <is>
          <t xml:space="preserve"> Amarilla </t>
        </is>
      </c>
      <c r="D656" t="inlineStr">
        <is>
          <t xml:space="preserve"> High </t>
        </is>
      </c>
      <c r="E656" t="n">
        <v>2844</v>
      </c>
      <c r="F656" s="69" t="n">
        <v>260</v>
      </c>
      <c r="G656" s="69" t="n">
        <v>125</v>
      </c>
      <c r="H656" s="69" t="n">
        <v>355500</v>
      </c>
      <c r="I656" s="5" t="n">
        <v>49770</v>
      </c>
      <c r="J656" s="69" t="n">
        <v>305730</v>
      </c>
      <c r="K656" s="69" t="n">
        <v>341280</v>
      </c>
      <c r="L656" s="69" t="n">
        <v>-35550</v>
      </c>
      <c r="M656" s="1" t="n">
        <v>41644</v>
      </c>
      <c r="N656" t="n">
        <v>5</v>
      </c>
      <c r="O656" t="inlineStr">
        <is>
          <t xml:space="preserve"> May </t>
        </is>
      </c>
      <c r="P656" t="n">
        <v>2014</v>
      </c>
      <c r="Q656">
        <f>IF(Financials[[#This Row],[ Units_Sold ]]&lt;&gt;INT(Financials[[#This Row],[ Units_Sold ]]),1,0)</f>
        <v/>
      </c>
      <c r="R656" s="10">
        <f>Financials[[#This Row],[ Profit ]]/Financials[[#This Row],[  Sales ]]</f>
        <v/>
      </c>
      <c r="S656" s="2">
        <f>Financials[[#This Row],[ COGS ]]/Financials[[#This Row],[  Sales ]]</f>
        <v/>
      </c>
      <c r="T656" s="3">
        <f>Financials[[#This Row],[ Discounts ]]/Financials[[#This Row],[  Sales ]]</f>
        <v/>
      </c>
      <c r="U656">
        <f>Financials[[#This Row],[  Sales ]]/Financials[[#This Row],[ Units_Sold ]]</f>
        <v/>
      </c>
      <c r="V656">
        <f>Financials[[#This Row],[ Profit ]]/Financials[[#This Row],[ Units_Sold ]]</f>
        <v/>
      </c>
      <c r="W656">
        <f>IF(Financials[[#This Row],[ Profit ]]&lt;0,1,0)</f>
        <v/>
      </c>
    </row>
    <row r="657">
      <c r="A657" t="inlineStr">
        <is>
          <t>Channel Partners</t>
        </is>
      </c>
      <c r="B657" t="inlineStr">
        <is>
          <t>France</t>
        </is>
      </c>
      <c r="C657" t="inlineStr">
        <is>
          <t xml:space="preserve"> Amarilla </t>
        </is>
      </c>
      <c r="D657" t="inlineStr">
        <is>
          <t xml:space="preserve"> High </t>
        </is>
      </c>
      <c r="E657" t="n">
        <v>2475</v>
      </c>
      <c r="F657" s="69" t="n">
        <v>260</v>
      </c>
      <c r="G657" s="69" t="n">
        <v>12</v>
      </c>
      <c r="H657" s="69" t="n">
        <v>29700</v>
      </c>
      <c r="I657" s="5" t="n">
        <v>4158</v>
      </c>
      <c r="J657" s="69" t="n">
        <v>25542</v>
      </c>
      <c r="K657" s="69" t="n">
        <v>7425</v>
      </c>
      <c r="L657" s="69" t="n">
        <v>18117</v>
      </c>
      <c r="M657" s="1" t="n">
        <v>41647</v>
      </c>
      <c r="N657" t="n">
        <v>8</v>
      </c>
      <c r="O657" t="inlineStr">
        <is>
          <t xml:space="preserve"> August </t>
        </is>
      </c>
      <c r="P657" t="n">
        <v>2014</v>
      </c>
      <c r="Q657">
        <f>IF(Financials[[#This Row],[ Units_Sold ]]&lt;&gt;INT(Financials[[#This Row],[ Units_Sold ]]),1,0)</f>
        <v/>
      </c>
      <c r="R657" s="10">
        <f>Financials[[#This Row],[ Profit ]]/Financials[[#This Row],[  Sales ]]</f>
        <v/>
      </c>
      <c r="S657" s="2">
        <f>Financials[[#This Row],[ COGS ]]/Financials[[#This Row],[  Sales ]]</f>
        <v/>
      </c>
      <c r="T657" s="3">
        <f>Financials[[#This Row],[ Discounts ]]/Financials[[#This Row],[  Sales ]]</f>
        <v/>
      </c>
      <c r="U657">
        <f>Financials[[#This Row],[  Sales ]]/Financials[[#This Row],[ Units_Sold ]]</f>
        <v/>
      </c>
      <c r="V657">
        <f>Financials[[#This Row],[ Profit ]]/Financials[[#This Row],[ Units_Sold ]]</f>
        <v/>
      </c>
      <c r="W657">
        <f>IF(Financials[[#This Row],[ Profit ]]&lt;0,1,0)</f>
        <v/>
      </c>
    </row>
    <row r="658">
      <c r="A658" t="inlineStr">
        <is>
          <t>Midmarket</t>
        </is>
      </c>
      <c r="B658" t="inlineStr">
        <is>
          <t>Canada</t>
        </is>
      </c>
      <c r="C658" t="inlineStr">
        <is>
          <t xml:space="preserve"> Amarilla </t>
        </is>
      </c>
      <c r="D658" t="inlineStr">
        <is>
          <t xml:space="preserve"> High </t>
        </is>
      </c>
      <c r="E658" t="n">
        <v>1743</v>
      </c>
      <c r="F658" s="69" t="n">
        <v>260</v>
      </c>
      <c r="G658" s="69" t="n">
        <v>15</v>
      </c>
      <c r="H658" s="69" t="n">
        <v>26145</v>
      </c>
      <c r="I658" s="5" t="n">
        <v>3660.3</v>
      </c>
      <c r="J658" s="69" t="n">
        <v>22484.7</v>
      </c>
      <c r="K658" s="69" t="n">
        <v>17430</v>
      </c>
      <c r="L658" s="69" t="n">
        <v>5054.7</v>
      </c>
      <c r="M658" s="1" t="n">
        <v>41284</v>
      </c>
      <c r="N658" t="n">
        <v>10</v>
      </c>
      <c r="O658" t="inlineStr">
        <is>
          <t xml:space="preserve"> October </t>
        </is>
      </c>
      <c r="P658" t="n">
        <v>2013</v>
      </c>
      <c r="Q658">
        <f>IF(Financials[[#This Row],[ Units_Sold ]]&lt;&gt;INT(Financials[[#This Row],[ Units_Sold ]]),1,0)</f>
        <v/>
      </c>
      <c r="R658" s="10">
        <f>Financials[[#This Row],[ Profit ]]/Financials[[#This Row],[  Sales ]]</f>
        <v/>
      </c>
      <c r="S658" s="2">
        <f>Financials[[#This Row],[ COGS ]]/Financials[[#This Row],[  Sales ]]</f>
        <v/>
      </c>
      <c r="T658" s="3">
        <f>Financials[[#This Row],[ Discounts ]]/Financials[[#This Row],[  Sales ]]</f>
        <v/>
      </c>
      <c r="U658">
        <f>Financials[[#This Row],[  Sales ]]/Financials[[#This Row],[ Units_Sold ]]</f>
        <v/>
      </c>
      <c r="V658">
        <f>Financials[[#This Row],[ Profit ]]/Financials[[#This Row],[ Units_Sold ]]</f>
        <v/>
      </c>
      <c r="W658">
        <f>IF(Financials[[#This Row],[ Profit ]]&lt;0,1,0)</f>
        <v/>
      </c>
    </row>
    <row r="659">
      <c r="A659" t="inlineStr">
        <is>
          <t>Channel Partners</t>
        </is>
      </c>
      <c r="B659" t="inlineStr">
        <is>
          <t>United States of America</t>
        </is>
      </c>
      <c r="C659" t="inlineStr">
        <is>
          <t xml:space="preserve"> Amarilla </t>
        </is>
      </c>
      <c r="D659" t="inlineStr">
        <is>
          <t xml:space="preserve"> High </t>
        </is>
      </c>
      <c r="E659" t="n">
        <v>2914</v>
      </c>
      <c r="F659" s="69" t="n">
        <v>260</v>
      </c>
      <c r="G659" s="69" t="n">
        <v>12</v>
      </c>
      <c r="H659" s="69" t="n">
        <v>34968</v>
      </c>
      <c r="I659" s="5" t="n">
        <v>4895.52</v>
      </c>
      <c r="J659" s="69" t="n">
        <v>30072.48</v>
      </c>
      <c r="K659" s="69" t="n">
        <v>8742</v>
      </c>
      <c r="L659" s="69" t="n">
        <v>21330.48</v>
      </c>
      <c r="M659" s="1" t="n">
        <v>41649</v>
      </c>
      <c r="N659" t="n">
        <v>10</v>
      </c>
      <c r="O659" t="inlineStr">
        <is>
          <t xml:space="preserve"> October </t>
        </is>
      </c>
      <c r="P659" t="n">
        <v>2014</v>
      </c>
      <c r="Q659">
        <f>IF(Financials[[#This Row],[ Units_Sold ]]&lt;&gt;INT(Financials[[#This Row],[ Units_Sold ]]),1,0)</f>
        <v/>
      </c>
      <c r="R659" s="10">
        <f>Financials[[#This Row],[ Profit ]]/Financials[[#This Row],[  Sales ]]</f>
        <v/>
      </c>
      <c r="S659" s="2">
        <f>Financials[[#This Row],[ COGS ]]/Financials[[#This Row],[  Sales ]]</f>
        <v/>
      </c>
      <c r="T659" s="3">
        <f>Financials[[#This Row],[ Discounts ]]/Financials[[#This Row],[  Sales ]]</f>
        <v/>
      </c>
      <c r="U659">
        <f>Financials[[#This Row],[  Sales ]]/Financials[[#This Row],[ Units_Sold ]]</f>
        <v/>
      </c>
      <c r="V659">
        <f>Financials[[#This Row],[ Profit ]]/Financials[[#This Row],[ Units_Sold ]]</f>
        <v/>
      </c>
      <c r="W659">
        <f>IF(Financials[[#This Row],[ Profit ]]&lt;0,1,0)</f>
        <v/>
      </c>
    </row>
    <row r="660">
      <c r="A660" t="inlineStr">
        <is>
          <t>Government</t>
        </is>
      </c>
      <c r="B660" t="inlineStr">
        <is>
          <t>France</t>
        </is>
      </c>
      <c r="C660" t="inlineStr">
        <is>
          <t xml:space="preserve"> Amarilla </t>
        </is>
      </c>
      <c r="D660" t="inlineStr">
        <is>
          <t xml:space="preserve"> High </t>
        </is>
      </c>
      <c r="E660" t="n">
        <v>1731</v>
      </c>
      <c r="F660" s="69" t="n">
        <v>260</v>
      </c>
      <c r="G660" s="69" t="n">
        <v>7</v>
      </c>
      <c r="H660" s="69" t="n">
        <v>12117</v>
      </c>
      <c r="I660" s="5" t="n">
        <v>1696.38</v>
      </c>
      <c r="J660" s="69" t="n">
        <v>10420.62</v>
      </c>
      <c r="K660" s="69" t="n">
        <v>8655</v>
      </c>
      <c r="L660" s="69" t="n">
        <v>1765.62</v>
      </c>
      <c r="M660" s="1" t="n">
        <v>41649</v>
      </c>
      <c r="N660" t="n">
        <v>10</v>
      </c>
      <c r="O660" t="inlineStr">
        <is>
          <t xml:space="preserve"> October </t>
        </is>
      </c>
      <c r="P660" t="n">
        <v>2014</v>
      </c>
      <c r="Q660">
        <f>IF(Financials[[#This Row],[ Units_Sold ]]&lt;&gt;INT(Financials[[#This Row],[ Units_Sold ]]),1,0)</f>
        <v/>
      </c>
      <c r="R660" s="10">
        <f>Financials[[#This Row],[ Profit ]]/Financials[[#This Row],[  Sales ]]</f>
        <v/>
      </c>
      <c r="S660" s="2">
        <f>Financials[[#This Row],[ COGS ]]/Financials[[#This Row],[  Sales ]]</f>
        <v/>
      </c>
      <c r="T660" s="3">
        <f>Financials[[#This Row],[ Discounts ]]/Financials[[#This Row],[  Sales ]]</f>
        <v/>
      </c>
      <c r="U660">
        <f>Financials[[#This Row],[  Sales ]]/Financials[[#This Row],[ Units_Sold ]]</f>
        <v/>
      </c>
      <c r="V660">
        <f>Financials[[#This Row],[ Profit ]]/Financials[[#This Row],[ Units_Sold ]]</f>
        <v/>
      </c>
      <c r="W660">
        <f>IF(Financials[[#This Row],[ Profit ]]&lt;0,1,0)</f>
        <v/>
      </c>
    </row>
    <row r="661">
      <c r="A661" t="inlineStr">
        <is>
          <t>Government</t>
        </is>
      </c>
      <c r="B661" t="inlineStr">
        <is>
          <t>Mexico</t>
        </is>
      </c>
      <c r="C661" t="inlineStr">
        <is>
          <t xml:space="preserve"> Amarilla </t>
        </is>
      </c>
      <c r="D661" t="inlineStr">
        <is>
          <t xml:space="preserve"> High </t>
        </is>
      </c>
      <c r="E661" t="n">
        <v>1727</v>
      </c>
      <c r="F661" s="69" t="n">
        <v>260</v>
      </c>
      <c r="G661" s="69" t="n">
        <v>7</v>
      </c>
      <c r="H661" s="69" t="n">
        <v>12089</v>
      </c>
      <c r="I661" s="5" t="n">
        <v>1692.46</v>
      </c>
      <c r="J661" s="69" t="n">
        <v>10396.54</v>
      </c>
      <c r="K661" s="69" t="n">
        <v>8635</v>
      </c>
      <c r="L661" s="69" t="n">
        <v>1761.54</v>
      </c>
      <c r="M661" s="1" t="n">
        <v>41284</v>
      </c>
      <c r="N661" t="n">
        <v>10</v>
      </c>
      <c r="O661" t="inlineStr">
        <is>
          <t xml:space="preserve"> October </t>
        </is>
      </c>
      <c r="P661" t="n">
        <v>2013</v>
      </c>
      <c r="Q661">
        <f>IF(Financials[[#This Row],[ Units_Sold ]]&lt;&gt;INT(Financials[[#This Row],[ Units_Sold ]]),1,0)</f>
        <v/>
      </c>
      <c r="R661" s="10">
        <f>Financials[[#This Row],[ Profit ]]/Financials[[#This Row],[  Sales ]]</f>
        <v/>
      </c>
      <c r="S661" s="2">
        <f>Financials[[#This Row],[ COGS ]]/Financials[[#This Row],[  Sales ]]</f>
        <v/>
      </c>
      <c r="T661" s="3">
        <f>Financials[[#This Row],[ Discounts ]]/Financials[[#This Row],[  Sales ]]</f>
        <v/>
      </c>
      <c r="U661">
        <f>Financials[[#This Row],[  Sales ]]/Financials[[#This Row],[ Units_Sold ]]</f>
        <v/>
      </c>
      <c r="V661">
        <f>Financials[[#This Row],[ Profit ]]/Financials[[#This Row],[ Units_Sold ]]</f>
        <v/>
      </c>
      <c r="W661">
        <f>IF(Financials[[#This Row],[ Profit ]]&lt;0,1,0)</f>
        <v/>
      </c>
    </row>
    <row r="662">
      <c r="A662" t="inlineStr">
        <is>
          <t>Midmarket</t>
        </is>
      </c>
      <c r="B662" t="inlineStr">
        <is>
          <t>Mexico</t>
        </is>
      </c>
      <c r="C662" t="inlineStr">
        <is>
          <t xml:space="preserve"> Amarilla </t>
        </is>
      </c>
      <c r="D662" t="inlineStr">
        <is>
          <t xml:space="preserve"> High </t>
        </is>
      </c>
      <c r="E662" t="n">
        <v>1870</v>
      </c>
      <c r="F662" s="69" t="n">
        <v>260</v>
      </c>
      <c r="G662" s="69" t="n">
        <v>15</v>
      </c>
      <c r="H662" s="69" t="n">
        <v>28050</v>
      </c>
      <c r="I662" s="5" t="n">
        <v>3927</v>
      </c>
      <c r="J662" s="69" t="n">
        <v>24123</v>
      </c>
      <c r="K662" s="69" t="n">
        <v>18700</v>
      </c>
      <c r="L662" s="69" t="n">
        <v>5423</v>
      </c>
      <c r="M662" s="1" t="n">
        <v>41285</v>
      </c>
      <c r="N662" t="n">
        <v>11</v>
      </c>
      <c r="O662" t="inlineStr">
        <is>
          <t xml:space="preserve"> November </t>
        </is>
      </c>
      <c r="P662" t="n">
        <v>2013</v>
      </c>
      <c r="Q662">
        <f>IF(Financials[[#This Row],[ Units_Sold ]]&lt;&gt;INT(Financials[[#This Row],[ Units_Sold ]]),1,0)</f>
        <v/>
      </c>
      <c r="R662" s="10">
        <f>Financials[[#This Row],[ Profit ]]/Financials[[#This Row],[  Sales ]]</f>
        <v/>
      </c>
      <c r="S662" s="2">
        <f>Financials[[#This Row],[ COGS ]]/Financials[[#This Row],[  Sales ]]</f>
        <v/>
      </c>
      <c r="T662" s="3">
        <f>Financials[[#This Row],[ Discounts ]]/Financials[[#This Row],[  Sales ]]</f>
        <v/>
      </c>
      <c r="U662">
        <f>Financials[[#This Row],[  Sales ]]/Financials[[#This Row],[ Units_Sold ]]</f>
        <v/>
      </c>
      <c r="V662">
        <f>Financials[[#This Row],[ Profit ]]/Financials[[#This Row],[ Units_Sold ]]</f>
        <v/>
      </c>
      <c r="W662">
        <f>IF(Financials[[#This Row],[ Profit ]]&lt;0,1,0)</f>
        <v/>
      </c>
    </row>
    <row r="663">
      <c r="A663" t="inlineStr">
        <is>
          <t>Enterprise</t>
        </is>
      </c>
      <c r="B663" t="inlineStr">
        <is>
          <t>France</t>
        </is>
      </c>
      <c r="C663" t="inlineStr">
        <is>
          <t xml:space="preserve"> Carretera </t>
        </is>
      </c>
      <c r="D663" t="inlineStr">
        <is>
          <t xml:space="preserve"> High </t>
        </is>
      </c>
      <c r="E663" t="n">
        <v>1174</v>
      </c>
      <c r="F663" s="69" t="n">
        <v>3</v>
      </c>
      <c r="G663" s="69" t="n">
        <v>125</v>
      </c>
      <c r="H663" s="69" t="n">
        <v>146750</v>
      </c>
      <c r="I663" s="5" t="n">
        <v>22012.5</v>
      </c>
      <c r="J663" s="69" t="n">
        <v>124737.5</v>
      </c>
      <c r="K663" s="69" t="n">
        <v>140880</v>
      </c>
      <c r="L663" s="69" t="n">
        <v>-16142.5</v>
      </c>
      <c r="M663" s="1" t="n">
        <v>41647</v>
      </c>
      <c r="N663" t="n">
        <v>8</v>
      </c>
      <c r="O663" t="inlineStr">
        <is>
          <t xml:space="preserve"> August </t>
        </is>
      </c>
      <c r="P663" t="n">
        <v>2014</v>
      </c>
      <c r="Q663">
        <f>IF(Financials[[#This Row],[ Units_Sold ]]&lt;&gt;INT(Financials[[#This Row],[ Units_Sold ]]),1,0)</f>
        <v/>
      </c>
      <c r="R663" s="10">
        <f>Financials[[#This Row],[ Profit ]]/Financials[[#This Row],[  Sales ]]</f>
        <v/>
      </c>
      <c r="S663" s="2">
        <f>Financials[[#This Row],[ COGS ]]/Financials[[#This Row],[  Sales ]]</f>
        <v/>
      </c>
      <c r="T663" s="3">
        <f>Financials[[#This Row],[ Discounts ]]/Financials[[#This Row],[  Sales ]]</f>
        <v/>
      </c>
      <c r="U663">
        <f>Financials[[#This Row],[  Sales ]]/Financials[[#This Row],[ Units_Sold ]]</f>
        <v/>
      </c>
      <c r="V663">
        <f>Financials[[#This Row],[ Profit ]]/Financials[[#This Row],[ Units_Sold ]]</f>
        <v/>
      </c>
      <c r="W663">
        <f>IF(Financials[[#This Row],[ Profit ]]&lt;0,1,0)</f>
        <v/>
      </c>
    </row>
    <row r="664">
      <c r="A664" t="inlineStr">
        <is>
          <t>Enterprise</t>
        </is>
      </c>
      <c r="B664" t="inlineStr">
        <is>
          <t>Germany</t>
        </is>
      </c>
      <c r="C664" t="inlineStr">
        <is>
          <t xml:space="preserve"> Carretera </t>
        </is>
      </c>
      <c r="D664" t="inlineStr">
        <is>
          <t xml:space="preserve"> High </t>
        </is>
      </c>
      <c r="E664" t="n">
        <v>2767</v>
      </c>
      <c r="F664" s="69" t="n">
        <v>3</v>
      </c>
      <c r="G664" s="69" t="n">
        <v>125</v>
      </c>
      <c r="H664" s="69" t="n">
        <v>345875</v>
      </c>
      <c r="I664" s="5" t="n">
        <v>51881.25</v>
      </c>
      <c r="J664" s="69" t="n">
        <v>293993.75</v>
      </c>
      <c r="K664" s="69" t="n">
        <v>332040</v>
      </c>
      <c r="L664" s="69" t="n">
        <v>-38046.25</v>
      </c>
      <c r="M664" s="1" t="n">
        <v>41647</v>
      </c>
      <c r="N664" t="n">
        <v>8</v>
      </c>
      <c r="O664" t="inlineStr">
        <is>
          <t xml:space="preserve"> August </t>
        </is>
      </c>
      <c r="P664" t="n">
        <v>2014</v>
      </c>
      <c r="Q664">
        <f>IF(Financials[[#This Row],[ Units_Sold ]]&lt;&gt;INT(Financials[[#This Row],[ Units_Sold ]]),1,0)</f>
        <v/>
      </c>
      <c r="R664" s="10">
        <f>Financials[[#This Row],[ Profit ]]/Financials[[#This Row],[  Sales ]]</f>
        <v/>
      </c>
      <c r="S664" s="2">
        <f>Financials[[#This Row],[ COGS ]]/Financials[[#This Row],[  Sales ]]</f>
        <v/>
      </c>
      <c r="T664" s="3">
        <f>Financials[[#This Row],[ Discounts ]]/Financials[[#This Row],[  Sales ]]</f>
        <v/>
      </c>
      <c r="U664">
        <f>Financials[[#This Row],[  Sales ]]/Financials[[#This Row],[ Units_Sold ]]</f>
        <v/>
      </c>
      <c r="V664">
        <f>Financials[[#This Row],[ Profit ]]/Financials[[#This Row],[ Units_Sold ]]</f>
        <v/>
      </c>
      <c r="W664">
        <f>IF(Financials[[#This Row],[ Profit ]]&lt;0,1,0)</f>
        <v/>
      </c>
    </row>
    <row r="665">
      <c r="A665" t="inlineStr">
        <is>
          <t>Enterprise</t>
        </is>
      </c>
      <c r="B665" t="inlineStr">
        <is>
          <t>Germany</t>
        </is>
      </c>
      <c r="C665" t="inlineStr">
        <is>
          <t xml:space="preserve"> Carretera </t>
        </is>
      </c>
      <c r="D665" t="inlineStr">
        <is>
          <t xml:space="preserve"> High </t>
        </is>
      </c>
      <c r="E665" t="n">
        <v>1085</v>
      </c>
      <c r="F665" s="69" t="n">
        <v>3</v>
      </c>
      <c r="G665" s="69" t="n">
        <v>125</v>
      </c>
      <c r="H665" s="69" t="n">
        <v>135625</v>
      </c>
      <c r="I665" s="5" t="n">
        <v>20343.75</v>
      </c>
      <c r="J665" s="69" t="n">
        <v>115281.25</v>
      </c>
      <c r="K665" s="69" t="n">
        <v>130200</v>
      </c>
      <c r="L665" s="69" t="n">
        <v>-14918.75</v>
      </c>
      <c r="M665" s="1" t="n">
        <v>41649</v>
      </c>
      <c r="N665" t="n">
        <v>10</v>
      </c>
      <c r="O665" t="inlineStr">
        <is>
          <t xml:space="preserve"> October </t>
        </is>
      </c>
      <c r="P665" t="n">
        <v>2014</v>
      </c>
      <c r="Q665">
        <f>IF(Financials[[#This Row],[ Units_Sold ]]&lt;&gt;INT(Financials[[#This Row],[ Units_Sold ]]),1,0)</f>
        <v/>
      </c>
      <c r="R665" s="10">
        <f>Financials[[#This Row],[ Profit ]]/Financials[[#This Row],[  Sales ]]</f>
        <v/>
      </c>
      <c r="S665" s="2">
        <f>Financials[[#This Row],[ COGS ]]/Financials[[#This Row],[  Sales ]]</f>
        <v/>
      </c>
      <c r="T665" s="3">
        <f>Financials[[#This Row],[ Discounts ]]/Financials[[#This Row],[  Sales ]]</f>
        <v/>
      </c>
      <c r="U665">
        <f>Financials[[#This Row],[  Sales ]]/Financials[[#This Row],[ Units_Sold ]]</f>
        <v/>
      </c>
      <c r="V665">
        <f>Financials[[#This Row],[ Profit ]]/Financials[[#This Row],[ Units_Sold ]]</f>
        <v/>
      </c>
      <c r="W665">
        <f>IF(Financials[[#This Row],[ Profit ]]&lt;0,1,0)</f>
        <v/>
      </c>
    </row>
    <row r="666">
      <c r="A666" t="inlineStr">
        <is>
          <t>Small Business</t>
        </is>
      </c>
      <c r="B666" t="inlineStr">
        <is>
          <t>Mexico</t>
        </is>
      </c>
      <c r="C666" t="inlineStr">
        <is>
          <t xml:space="preserve"> Montana </t>
        </is>
      </c>
      <c r="D666" t="inlineStr">
        <is>
          <t xml:space="preserve"> High </t>
        </is>
      </c>
      <c r="E666" t="n">
        <v>546</v>
      </c>
      <c r="F666" s="69" t="n">
        <v>5</v>
      </c>
      <c r="G666" s="69" t="n">
        <v>300</v>
      </c>
      <c r="H666" s="69" t="n">
        <v>163800</v>
      </c>
      <c r="I666" s="5" t="n">
        <v>24570</v>
      </c>
      <c r="J666" s="69" t="n">
        <v>139230</v>
      </c>
      <c r="K666" s="69" t="n">
        <v>136500</v>
      </c>
      <c r="L666" s="69" t="n">
        <v>2730</v>
      </c>
      <c r="M666" s="1" t="n">
        <v>41649</v>
      </c>
      <c r="N666" t="n">
        <v>10</v>
      </c>
      <c r="O666" t="inlineStr">
        <is>
          <t xml:space="preserve"> October </t>
        </is>
      </c>
      <c r="P666" t="n">
        <v>2014</v>
      </c>
      <c r="Q666">
        <f>IF(Financials[[#This Row],[ Units_Sold ]]&lt;&gt;INT(Financials[[#This Row],[ Units_Sold ]]),1,0)</f>
        <v/>
      </c>
      <c r="R666" s="10">
        <f>Financials[[#This Row],[ Profit ]]/Financials[[#This Row],[  Sales ]]</f>
        <v/>
      </c>
      <c r="S666" s="2">
        <f>Financials[[#This Row],[ COGS ]]/Financials[[#This Row],[  Sales ]]</f>
        <v/>
      </c>
      <c r="T666" s="3">
        <f>Financials[[#This Row],[ Discounts ]]/Financials[[#This Row],[  Sales ]]</f>
        <v/>
      </c>
      <c r="U666">
        <f>Financials[[#This Row],[  Sales ]]/Financials[[#This Row],[ Units_Sold ]]</f>
        <v/>
      </c>
      <c r="V666">
        <f>Financials[[#This Row],[ Profit ]]/Financials[[#This Row],[ Units_Sold ]]</f>
        <v/>
      </c>
      <c r="W666">
        <f>IF(Financials[[#This Row],[ Profit ]]&lt;0,1,0)</f>
        <v/>
      </c>
    </row>
    <row r="667">
      <c r="A667" t="inlineStr">
        <is>
          <t>Government</t>
        </is>
      </c>
      <c r="B667" t="inlineStr">
        <is>
          <t>Germany</t>
        </is>
      </c>
      <c r="C667" t="inlineStr">
        <is>
          <t xml:space="preserve"> Paseo </t>
        </is>
      </c>
      <c r="D667" t="inlineStr">
        <is>
          <t xml:space="preserve"> High </t>
        </is>
      </c>
      <c r="E667" t="n">
        <v>1158</v>
      </c>
      <c r="F667" s="69" t="n">
        <v>10</v>
      </c>
      <c r="G667" s="69" t="n">
        <v>20</v>
      </c>
      <c r="H667" s="69" t="n">
        <v>23160</v>
      </c>
      <c r="I667" s="5" t="n">
        <v>3474</v>
      </c>
      <c r="J667" s="69" t="n">
        <v>19686</v>
      </c>
      <c r="K667" s="69" t="n">
        <v>11580</v>
      </c>
      <c r="L667" s="69" t="n">
        <v>8106</v>
      </c>
      <c r="M667" s="1" t="n">
        <v>41642</v>
      </c>
      <c r="N667" t="n">
        <v>3</v>
      </c>
      <c r="O667" t="inlineStr">
        <is>
          <t xml:space="preserve"> March </t>
        </is>
      </c>
      <c r="P667" t="n">
        <v>2014</v>
      </c>
      <c r="Q667">
        <f>IF(Financials[[#This Row],[ Units_Sold ]]&lt;&gt;INT(Financials[[#This Row],[ Units_Sold ]]),1,0)</f>
        <v/>
      </c>
      <c r="R667" s="10">
        <f>Financials[[#This Row],[ Profit ]]/Financials[[#This Row],[  Sales ]]</f>
        <v/>
      </c>
      <c r="S667" s="2">
        <f>Financials[[#This Row],[ COGS ]]/Financials[[#This Row],[  Sales ]]</f>
        <v/>
      </c>
      <c r="T667" s="3">
        <f>Financials[[#This Row],[ Discounts ]]/Financials[[#This Row],[  Sales ]]</f>
        <v/>
      </c>
      <c r="U667">
        <f>Financials[[#This Row],[  Sales ]]/Financials[[#This Row],[ Units_Sold ]]</f>
        <v/>
      </c>
      <c r="V667">
        <f>Financials[[#This Row],[ Profit ]]/Financials[[#This Row],[ Units_Sold ]]</f>
        <v/>
      </c>
      <c r="W667">
        <f>IF(Financials[[#This Row],[ Profit ]]&lt;0,1,0)</f>
        <v/>
      </c>
    </row>
    <row r="668">
      <c r="A668" t="inlineStr">
        <is>
          <t>Midmarket</t>
        </is>
      </c>
      <c r="B668" t="inlineStr">
        <is>
          <t>Canada</t>
        </is>
      </c>
      <c r="C668" t="inlineStr">
        <is>
          <t xml:space="preserve"> Paseo </t>
        </is>
      </c>
      <c r="D668" t="inlineStr">
        <is>
          <t xml:space="preserve"> High </t>
        </is>
      </c>
      <c r="E668" t="n">
        <v>1614</v>
      </c>
      <c r="F668" s="69" t="n">
        <v>10</v>
      </c>
      <c r="G668" s="69" t="n">
        <v>15</v>
      </c>
      <c r="H668" s="69" t="n">
        <v>24210</v>
      </c>
      <c r="I668" s="5" t="n">
        <v>3631.5</v>
      </c>
      <c r="J668" s="69" t="n">
        <v>20578.5</v>
      </c>
      <c r="K668" s="69" t="n">
        <v>16140</v>
      </c>
      <c r="L668" s="69" t="n">
        <v>4438.5</v>
      </c>
      <c r="M668" s="1" t="n">
        <v>41643</v>
      </c>
      <c r="N668" t="n">
        <v>4</v>
      </c>
      <c r="O668" t="inlineStr">
        <is>
          <t xml:space="preserve"> April </t>
        </is>
      </c>
      <c r="P668" t="n">
        <v>2014</v>
      </c>
      <c r="Q668">
        <f>IF(Financials[[#This Row],[ Units_Sold ]]&lt;&gt;INT(Financials[[#This Row],[ Units_Sold ]]),1,0)</f>
        <v/>
      </c>
      <c r="R668" s="10">
        <f>Financials[[#This Row],[ Profit ]]/Financials[[#This Row],[  Sales ]]</f>
        <v/>
      </c>
      <c r="S668" s="2">
        <f>Financials[[#This Row],[ COGS ]]/Financials[[#This Row],[  Sales ]]</f>
        <v/>
      </c>
      <c r="T668" s="3">
        <f>Financials[[#This Row],[ Discounts ]]/Financials[[#This Row],[  Sales ]]</f>
        <v/>
      </c>
      <c r="U668">
        <f>Financials[[#This Row],[  Sales ]]/Financials[[#This Row],[ Units_Sold ]]</f>
        <v/>
      </c>
      <c r="V668">
        <f>Financials[[#This Row],[ Profit ]]/Financials[[#This Row],[ Units_Sold ]]</f>
        <v/>
      </c>
      <c r="W668">
        <f>IF(Financials[[#This Row],[ Profit ]]&lt;0,1,0)</f>
        <v/>
      </c>
    </row>
    <row r="669">
      <c r="A669" t="inlineStr">
        <is>
          <t>Government</t>
        </is>
      </c>
      <c r="B669" t="inlineStr">
        <is>
          <t>Mexico</t>
        </is>
      </c>
      <c r="C669" t="inlineStr">
        <is>
          <t xml:space="preserve"> Paseo </t>
        </is>
      </c>
      <c r="D669" t="inlineStr">
        <is>
          <t xml:space="preserve"> High </t>
        </is>
      </c>
      <c r="E669" t="n">
        <v>2535</v>
      </c>
      <c r="F669" s="69" t="n">
        <v>10</v>
      </c>
      <c r="G669" s="69" t="n">
        <v>7</v>
      </c>
      <c r="H669" s="69" t="n">
        <v>17745</v>
      </c>
      <c r="I669" s="5" t="n">
        <v>2661.75</v>
      </c>
      <c r="J669" s="69" t="n">
        <v>15083.25</v>
      </c>
      <c r="K669" s="69" t="n">
        <v>12675</v>
      </c>
      <c r="L669" s="69" t="n">
        <v>2408.25</v>
      </c>
      <c r="M669" s="1" t="n">
        <v>41643</v>
      </c>
      <c r="N669" t="n">
        <v>4</v>
      </c>
      <c r="O669" t="inlineStr">
        <is>
          <t xml:space="preserve"> April </t>
        </is>
      </c>
      <c r="P669" t="n">
        <v>2014</v>
      </c>
      <c r="Q669">
        <f>IF(Financials[[#This Row],[ Units_Sold ]]&lt;&gt;INT(Financials[[#This Row],[ Units_Sold ]]),1,0)</f>
        <v/>
      </c>
      <c r="R669" s="10">
        <f>Financials[[#This Row],[ Profit ]]/Financials[[#This Row],[  Sales ]]</f>
        <v/>
      </c>
      <c r="S669" s="2">
        <f>Financials[[#This Row],[ COGS ]]/Financials[[#This Row],[  Sales ]]</f>
        <v/>
      </c>
      <c r="T669" s="3">
        <f>Financials[[#This Row],[ Discounts ]]/Financials[[#This Row],[  Sales ]]</f>
        <v/>
      </c>
      <c r="U669">
        <f>Financials[[#This Row],[  Sales ]]/Financials[[#This Row],[ Units_Sold ]]</f>
        <v/>
      </c>
      <c r="V669">
        <f>Financials[[#This Row],[ Profit ]]/Financials[[#This Row],[ Units_Sold ]]</f>
        <v/>
      </c>
      <c r="W669">
        <f>IF(Financials[[#This Row],[ Profit ]]&lt;0,1,0)</f>
        <v/>
      </c>
    </row>
    <row r="670">
      <c r="A670" t="inlineStr">
        <is>
          <t>Government</t>
        </is>
      </c>
      <c r="B670" t="inlineStr">
        <is>
          <t>Mexico</t>
        </is>
      </c>
      <c r="C670" t="inlineStr">
        <is>
          <t xml:space="preserve"> Paseo </t>
        </is>
      </c>
      <c r="D670" t="inlineStr">
        <is>
          <t xml:space="preserve"> High </t>
        </is>
      </c>
      <c r="E670" t="n">
        <v>2851</v>
      </c>
      <c r="F670" s="69" t="n">
        <v>10</v>
      </c>
      <c r="G670" s="69" t="n">
        <v>350</v>
      </c>
      <c r="H670" s="69" t="n">
        <v>997850</v>
      </c>
      <c r="I670" s="5" t="n">
        <v>149677.5</v>
      </c>
      <c r="J670" s="69" t="n">
        <v>848172.5</v>
      </c>
      <c r="K670" s="69" t="n">
        <v>741260</v>
      </c>
      <c r="L670" s="69" t="n">
        <v>106912.5</v>
      </c>
      <c r="M670" s="1" t="n">
        <v>41644</v>
      </c>
      <c r="N670" t="n">
        <v>5</v>
      </c>
      <c r="O670" t="inlineStr">
        <is>
          <t xml:space="preserve"> May </t>
        </is>
      </c>
      <c r="P670" t="n">
        <v>2014</v>
      </c>
      <c r="Q670">
        <f>IF(Financials[[#This Row],[ Units_Sold ]]&lt;&gt;INT(Financials[[#This Row],[ Units_Sold ]]),1,0)</f>
        <v/>
      </c>
      <c r="R670" s="10">
        <f>Financials[[#This Row],[ Profit ]]/Financials[[#This Row],[  Sales ]]</f>
        <v/>
      </c>
      <c r="S670" s="2">
        <f>Financials[[#This Row],[ COGS ]]/Financials[[#This Row],[  Sales ]]</f>
        <v/>
      </c>
      <c r="T670" s="3">
        <f>Financials[[#This Row],[ Discounts ]]/Financials[[#This Row],[  Sales ]]</f>
        <v/>
      </c>
      <c r="U670">
        <f>Financials[[#This Row],[  Sales ]]/Financials[[#This Row],[ Units_Sold ]]</f>
        <v/>
      </c>
      <c r="V670">
        <f>Financials[[#This Row],[ Profit ]]/Financials[[#This Row],[ Units_Sold ]]</f>
        <v/>
      </c>
      <c r="W670">
        <f>IF(Financials[[#This Row],[ Profit ]]&lt;0,1,0)</f>
        <v/>
      </c>
    </row>
    <row r="671">
      <c r="A671" t="inlineStr">
        <is>
          <t>Midmarket</t>
        </is>
      </c>
      <c r="B671" t="inlineStr">
        <is>
          <t>Canada</t>
        </is>
      </c>
      <c r="C671" t="inlineStr">
        <is>
          <t xml:space="preserve"> Paseo </t>
        </is>
      </c>
      <c r="D671" t="inlineStr">
        <is>
          <t xml:space="preserve"> High </t>
        </is>
      </c>
      <c r="E671" t="n">
        <v>2559</v>
      </c>
      <c r="F671" s="69" t="n">
        <v>10</v>
      </c>
      <c r="G671" s="69" t="n">
        <v>15</v>
      </c>
      <c r="H671" s="69" t="n">
        <v>38385</v>
      </c>
      <c r="I671" s="5" t="n">
        <v>5757.75</v>
      </c>
      <c r="J671" s="69" t="n">
        <v>32627.25</v>
      </c>
      <c r="K671" s="69" t="n">
        <v>25590</v>
      </c>
      <c r="L671" s="69" t="n">
        <v>7037.25</v>
      </c>
      <c r="M671" s="1" t="n">
        <v>41647</v>
      </c>
      <c r="N671" t="n">
        <v>8</v>
      </c>
      <c r="O671" t="inlineStr">
        <is>
          <t xml:space="preserve"> August </t>
        </is>
      </c>
      <c r="P671" t="n">
        <v>2014</v>
      </c>
      <c r="Q671">
        <f>IF(Financials[[#This Row],[ Units_Sold ]]&lt;&gt;INT(Financials[[#This Row],[ Units_Sold ]]),1,0)</f>
        <v/>
      </c>
      <c r="R671" s="10">
        <f>Financials[[#This Row],[ Profit ]]/Financials[[#This Row],[  Sales ]]</f>
        <v/>
      </c>
      <c r="S671" s="2">
        <f>Financials[[#This Row],[ COGS ]]/Financials[[#This Row],[  Sales ]]</f>
        <v/>
      </c>
      <c r="T671" s="3">
        <f>Financials[[#This Row],[ Discounts ]]/Financials[[#This Row],[  Sales ]]</f>
        <v/>
      </c>
      <c r="U671">
        <f>Financials[[#This Row],[  Sales ]]/Financials[[#This Row],[ Units_Sold ]]</f>
        <v/>
      </c>
      <c r="V671">
        <f>Financials[[#This Row],[ Profit ]]/Financials[[#This Row],[ Units_Sold ]]</f>
        <v/>
      </c>
      <c r="W671">
        <f>IF(Financials[[#This Row],[ Profit ]]&lt;0,1,0)</f>
        <v/>
      </c>
    </row>
    <row r="672">
      <c r="A672" t="inlineStr">
        <is>
          <t>Government</t>
        </is>
      </c>
      <c r="B672" t="inlineStr">
        <is>
          <t>United States of America</t>
        </is>
      </c>
      <c r="C672" t="inlineStr">
        <is>
          <t xml:space="preserve"> Paseo </t>
        </is>
      </c>
      <c r="D672" t="inlineStr">
        <is>
          <t xml:space="preserve"> High </t>
        </is>
      </c>
      <c r="E672" t="n">
        <v>267</v>
      </c>
      <c r="F672" s="69" t="n">
        <v>10</v>
      </c>
      <c r="G672" s="69" t="n">
        <v>20</v>
      </c>
      <c r="H672" s="69" t="n">
        <v>5340</v>
      </c>
      <c r="I672" s="5" t="n">
        <v>801</v>
      </c>
      <c r="J672" s="69" t="n">
        <v>4539</v>
      </c>
      <c r="K672" s="69" t="n">
        <v>2670</v>
      </c>
      <c r="L672" s="69" t="n">
        <v>1869</v>
      </c>
      <c r="M672" s="1" t="n">
        <v>41284</v>
      </c>
      <c r="N672" t="n">
        <v>10</v>
      </c>
      <c r="O672" t="inlineStr">
        <is>
          <t xml:space="preserve"> October </t>
        </is>
      </c>
      <c r="P672" t="n">
        <v>2013</v>
      </c>
      <c r="Q672">
        <f>IF(Financials[[#This Row],[ Units_Sold ]]&lt;&gt;INT(Financials[[#This Row],[ Units_Sold ]]),1,0)</f>
        <v/>
      </c>
      <c r="R672" s="10">
        <f>Financials[[#This Row],[ Profit ]]/Financials[[#This Row],[  Sales ]]</f>
        <v/>
      </c>
      <c r="S672" s="2">
        <f>Financials[[#This Row],[ COGS ]]/Financials[[#This Row],[  Sales ]]</f>
        <v/>
      </c>
      <c r="T672" s="3">
        <f>Financials[[#This Row],[ Discounts ]]/Financials[[#This Row],[  Sales ]]</f>
        <v/>
      </c>
      <c r="U672">
        <f>Financials[[#This Row],[  Sales ]]/Financials[[#This Row],[ Units_Sold ]]</f>
        <v/>
      </c>
      <c r="V672">
        <f>Financials[[#This Row],[ Profit ]]/Financials[[#This Row],[ Units_Sold ]]</f>
        <v/>
      </c>
      <c r="W672">
        <f>IF(Financials[[#This Row],[ Profit ]]&lt;0,1,0)</f>
        <v/>
      </c>
    </row>
    <row r="673">
      <c r="A673" t="inlineStr">
        <is>
          <t>Enterprise</t>
        </is>
      </c>
      <c r="B673" t="inlineStr">
        <is>
          <t>Germany</t>
        </is>
      </c>
      <c r="C673" t="inlineStr">
        <is>
          <t xml:space="preserve"> Paseo </t>
        </is>
      </c>
      <c r="D673" t="inlineStr">
        <is>
          <t xml:space="preserve"> High </t>
        </is>
      </c>
      <c r="E673" t="n">
        <v>1085</v>
      </c>
      <c r="F673" s="69" t="n">
        <v>10</v>
      </c>
      <c r="G673" s="69" t="n">
        <v>125</v>
      </c>
      <c r="H673" s="69" t="n">
        <v>135625</v>
      </c>
      <c r="I673" s="5" t="n">
        <v>20343.75</v>
      </c>
      <c r="J673" s="69" t="n">
        <v>115281.25</v>
      </c>
      <c r="K673" s="69" t="n">
        <v>130200</v>
      </c>
      <c r="L673" s="69" t="n">
        <v>-14918.75</v>
      </c>
      <c r="M673" s="1" t="n">
        <v>41649</v>
      </c>
      <c r="N673" t="n">
        <v>10</v>
      </c>
      <c r="O673" t="inlineStr">
        <is>
          <t xml:space="preserve"> October </t>
        </is>
      </c>
      <c r="P673" t="n">
        <v>2014</v>
      </c>
      <c r="Q673">
        <f>IF(Financials[[#This Row],[ Units_Sold ]]&lt;&gt;INT(Financials[[#This Row],[ Units_Sold ]]),1,0)</f>
        <v/>
      </c>
      <c r="R673" s="10">
        <f>Financials[[#This Row],[ Profit ]]/Financials[[#This Row],[  Sales ]]</f>
        <v/>
      </c>
      <c r="S673" s="2">
        <f>Financials[[#This Row],[ COGS ]]/Financials[[#This Row],[  Sales ]]</f>
        <v/>
      </c>
      <c r="T673" s="3">
        <f>Financials[[#This Row],[ Discounts ]]/Financials[[#This Row],[  Sales ]]</f>
        <v/>
      </c>
      <c r="U673">
        <f>Financials[[#This Row],[  Sales ]]/Financials[[#This Row],[ Units_Sold ]]</f>
        <v/>
      </c>
      <c r="V673">
        <f>Financials[[#This Row],[ Profit ]]/Financials[[#This Row],[ Units_Sold ]]</f>
        <v/>
      </c>
      <c r="W673">
        <f>IF(Financials[[#This Row],[ Profit ]]&lt;0,1,0)</f>
        <v/>
      </c>
    </row>
    <row r="674">
      <c r="A674" t="inlineStr">
        <is>
          <t>Midmarket</t>
        </is>
      </c>
      <c r="B674" t="inlineStr">
        <is>
          <t>Germany</t>
        </is>
      </c>
      <c r="C674" t="inlineStr">
        <is>
          <t xml:space="preserve"> Paseo </t>
        </is>
      </c>
      <c r="D674" t="inlineStr">
        <is>
          <t xml:space="preserve"> High </t>
        </is>
      </c>
      <c r="E674" t="n">
        <v>1175</v>
      </c>
      <c r="F674" s="69" t="n">
        <v>10</v>
      </c>
      <c r="G674" s="69" t="n">
        <v>15</v>
      </c>
      <c r="H674" s="69" t="n">
        <v>17625</v>
      </c>
      <c r="I674" s="5" t="n">
        <v>2643.75</v>
      </c>
      <c r="J674" s="69" t="n">
        <v>14981.25</v>
      </c>
      <c r="K674" s="69" t="n">
        <v>11750</v>
      </c>
      <c r="L674" s="69" t="n">
        <v>3231.25</v>
      </c>
      <c r="M674" s="1" t="n">
        <v>41649</v>
      </c>
      <c r="N674" t="n">
        <v>10</v>
      </c>
      <c r="O674" t="inlineStr">
        <is>
          <t xml:space="preserve"> October </t>
        </is>
      </c>
      <c r="P674" t="n">
        <v>2014</v>
      </c>
      <c r="Q674">
        <f>IF(Financials[[#This Row],[ Units_Sold ]]&lt;&gt;INT(Financials[[#This Row],[ Units_Sold ]]),1,0)</f>
        <v/>
      </c>
      <c r="R674" s="10">
        <f>Financials[[#This Row],[ Profit ]]/Financials[[#This Row],[  Sales ]]</f>
        <v/>
      </c>
      <c r="S674" s="2">
        <f>Financials[[#This Row],[ COGS ]]/Financials[[#This Row],[  Sales ]]</f>
        <v/>
      </c>
      <c r="T674" s="3">
        <f>Financials[[#This Row],[ Discounts ]]/Financials[[#This Row],[  Sales ]]</f>
        <v/>
      </c>
      <c r="U674">
        <f>Financials[[#This Row],[  Sales ]]/Financials[[#This Row],[ Units_Sold ]]</f>
        <v/>
      </c>
      <c r="V674">
        <f>Financials[[#This Row],[ Profit ]]/Financials[[#This Row],[ Units_Sold ]]</f>
        <v/>
      </c>
      <c r="W674">
        <f>IF(Financials[[#This Row],[ Profit ]]&lt;0,1,0)</f>
        <v/>
      </c>
    </row>
    <row r="675">
      <c r="A675" t="inlineStr">
        <is>
          <t>Government</t>
        </is>
      </c>
      <c r="B675" t="inlineStr">
        <is>
          <t>United States of America</t>
        </is>
      </c>
      <c r="C675" t="inlineStr">
        <is>
          <t xml:space="preserve"> Paseo </t>
        </is>
      </c>
      <c r="D675" t="inlineStr">
        <is>
          <t xml:space="preserve"> High </t>
        </is>
      </c>
      <c r="E675" t="n">
        <v>2007</v>
      </c>
      <c r="F675" s="69" t="n">
        <v>10</v>
      </c>
      <c r="G675" s="69" t="n">
        <v>350</v>
      </c>
      <c r="H675" s="69" t="n">
        <v>702450</v>
      </c>
      <c r="I675" s="5" t="n">
        <v>105367.5</v>
      </c>
      <c r="J675" s="69" t="n">
        <v>597082.5</v>
      </c>
      <c r="K675" s="69" t="n">
        <v>521820</v>
      </c>
      <c r="L675" s="69" t="n">
        <v>75262.5</v>
      </c>
      <c r="M675" s="1" t="n">
        <v>41285</v>
      </c>
      <c r="N675" t="n">
        <v>11</v>
      </c>
      <c r="O675" t="inlineStr">
        <is>
          <t xml:space="preserve"> November </t>
        </is>
      </c>
      <c r="P675" t="n">
        <v>2013</v>
      </c>
      <c r="Q675">
        <f>IF(Financials[[#This Row],[ Units_Sold ]]&lt;&gt;INT(Financials[[#This Row],[ Units_Sold ]]),1,0)</f>
        <v/>
      </c>
      <c r="R675" s="10">
        <f>Financials[[#This Row],[ Profit ]]/Financials[[#This Row],[  Sales ]]</f>
        <v/>
      </c>
      <c r="S675" s="2">
        <f>Financials[[#This Row],[ COGS ]]/Financials[[#This Row],[  Sales ]]</f>
        <v/>
      </c>
      <c r="T675" s="3">
        <f>Financials[[#This Row],[ Discounts ]]/Financials[[#This Row],[  Sales ]]</f>
        <v/>
      </c>
      <c r="U675">
        <f>Financials[[#This Row],[  Sales ]]/Financials[[#This Row],[ Units_Sold ]]</f>
        <v/>
      </c>
      <c r="V675">
        <f>Financials[[#This Row],[ Profit ]]/Financials[[#This Row],[ Units_Sold ]]</f>
        <v/>
      </c>
      <c r="W675">
        <f>IF(Financials[[#This Row],[ Profit ]]&lt;0,1,0)</f>
        <v/>
      </c>
    </row>
    <row r="676">
      <c r="A676" t="inlineStr">
        <is>
          <t>Government</t>
        </is>
      </c>
      <c r="B676" t="inlineStr">
        <is>
          <t>Mexico</t>
        </is>
      </c>
      <c r="C676" t="inlineStr">
        <is>
          <t xml:space="preserve"> Paseo </t>
        </is>
      </c>
      <c r="D676" t="inlineStr">
        <is>
          <t xml:space="preserve"> High </t>
        </is>
      </c>
      <c r="E676" t="n">
        <v>2151</v>
      </c>
      <c r="F676" s="69" t="n">
        <v>10</v>
      </c>
      <c r="G676" s="69" t="n">
        <v>350</v>
      </c>
      <c r="H676" s="69" t="n">
        <v>752850</v>
      </c>
      <c r="I676" s="5" t="n">
        <v>112927.5</v>
      </c>
      <c r="J676" s="69" t="n">
        <v>639922.5</v>
      </c>
      <c r="K676" s="69" t="n">
        <v>559260</v>
      </c>
      <c r="L676" s="69" t="n">
        <v>80662.5</v>
      </c>
      <c r="M676" s="1" t="n">
        <v>41285</v>
      </c>
      <c r="N676" t="n">
        <v>11</v>
      </c>
      <c r="O676" t="inlineStr">
        <is>
          <t xml:space="preserve"> November </t>
        </is>
      </c>
      <c r="P676" t="n">
        <v>2013</v>
      </c>
      <c r="Q676">
        <f>IF(Financials[[#This Row],[ Units_Sold ]]&lt;&gt;INT(Financials[[#This Row],[ Units_Sold ]]),1,0)</f>
        <v/>
      </c>
      <c r="R676" s="10">
        <f>Financials[[#This Row],[ Profit ]]/Financials[[#This Row],[  Sales ]]</f>
        <v/>
      </c>
      <c r="S676" s="2">
        <f>Financials[[#This Row],[ COGS ]]/Financials[[#This Row],[  Sales ]]</f>
        <v/>
      </c>
      <c r="T676" s="3">
        <f>Financials[[#This Row],[ Discounts ]]/Financials[[#This Row],[  Sales ]]</f>
        <v/>
      </c>
      <c r="U676">
        <f>Financials[[#This Row],[  Sales ]]/Financials[[#This Row],[ Units_Sold ]]</f>
        <v/>
      </c>
      <c r="V676">
        <f>Financials[[#This Row],[ Profit ]]/Financials[[#This Row],[ Units_Sold ]]</f>
        <v/>
      </c>
      <c r="W676">
        <f>IF(Financials[[#This Row],[ Profit ]]&lt;0,1,0)</f>
        <v/>
      </c>
    </row>
    <row r="677">
      <c r="A677" t="inlineStr">
        <is>
          <t>Channel Partners</t>
        </is>
      </c>
      <c r="B677" t="inlineStr">
        <is>
          <t>United States of America</t>
        </is>
      </c>
      <c r="C677" t="inlineStr">
        <is>
          <t xml:space="preserve"> Paseo </t>
        </is>
      </c>
      <c r="D677" t="inlineStr">
        <is>
          <t xml:space="preserve"> High </t>
        </is>
      </c>
      <c r="E677" t="n">
        <v>914</v>
      </c>
      <c r="F677" s="69" t="n">
        <v>10</v>
      </c>
      <c r="G677" s="69" t="n">
        <v>12</v>
      </c>
      <c r="H677" s="69" t="n">
        <v>10968</v>
      </c>
      <c r="I677" s="5" t="n">
        <v>1645.2</v>
      </c>
      <c r="J677" s="69" t="n">
        <v>9322.799999999999</v>
      </c>
      <c r="K677" s="69" t="n">
        <v>2742</v>
      </c>
      <c r="L677" s="69" t="n">
        <v>6580.8</v>
      </c>
      <c r="M677" s="1" t="n">
        <v>41651</v>
      </c>
      <c r="N677" t="n">
        <v>12</v>
      </c>
      <c r="O677" t="inlineStr">
        <is>
          <t xml:space="preserve"> December </t>
        </is>
      </c>
      <c r="P677" t="n">
        <v>2014</v>
      </c>
      <c r="Q677">
        <f>IF(Financials[[#This Row],[ Units_Sold ]]&lt;&gt;INT(Financials[[#This Row],[ Units_Sold ]]),1,0)</f>
        <v/>
      </c>
      <c r="R677" s="10">
        <f>Financials[[#This Row],[ Profit ]]/Financials[[#This Row],[  Sales ]]</f>
        <v/>
      </c>
      <c r="S677" s="2">
        <f>Financials[[#This Row],[ COGS ]]/Financials[[#This Row],[  Sales ]]</f>
        <v/>
      </c>
      <c r="T677" s="3">
        <f>Financials[[#This Row],[ Discounts ]]/Financials[[#This Row],[  Sales ]]</f>
        <v/>
      </c>
      <c r="U677">
        <f>Financials[[#This Row],[  Sales ]]/Financials[[#This Row],[ Units_Sold ]]</f>
        <v/>
      </c>
      <c r="V677">
        <f>Financials[[#This Row],[ Profit ]]/Financials[[#This Row],[ Units_Sold ]]</f>
        <v/>
      </c>
      <c r="W677">
        <f>IF(Financials[[#This Row],[ Profit ]]&lt;0,1,0)</f>
        <v/>
      </c>
    </row>
    <row r="678">
      <c r="A678" t="inlineStr">
        <is>
          <t>Government</t>
        </is>
      </c>
      <c r="B678" t="inlineStr">
        <is>
          <t>France</t>
        </is>
      </c>
      <c r="C678" t="inlineStr">
        <is>
          <t xml:space="preserve"> Paseo </t>
        </is>
      </c>
      <c r="D678" t="inlineStr">
        <is>
          <t xml:space="preserve"> High </t>
        </is>
      </c>
      <c r="E678" t="n">
        <v>293</v>
      </c>
      <c r="F678" s="69" t="n">
        <v>10</v>
      </c>
      <c r="G678" s="69" t="n">
        <v>20</v>
      </c>
      <c r="H678" s="69" t="n">
        <v>5860</v>
      </c>
      <c r="I678" s="5" t="n">
        <v>879</v>
      </c>
      <c r="J678" s="69" t="n">
        <v>4981</v>
      </c>
      <c r="K678" s="69" t="n">
        <v>2930</v>
      </c>
      <c r="L678" s="69" t="n">
        <v>2051</v>
      </c>
      <c r="M678" s="1" t="n">
        <v>41651</v>
      </c>
      <c r="N678" t="n">
        <v>12</v>
      </c>
      <c r="O678" t="inlineStr">
        <is>
          <t xml:space="preserve"> December </t>
        </is>
      </c>
      <c r="P678" t="n">
        <v>2014</v>
      </c>
      <c r="Q678">
        <f>IF(Financials[[#This Row],[ Units_Sold ]]&lt;&gt;INT(Financials[[#This Row],[ Units_Sold ]]),1,0)</f>
        <v/>
      </c>
      <c r="R678" s="10">
        <f>Financials[[#This Row],[ Profit ]]/Financials[[#This Row],[  Sales ]]</f>
        <v/>
      </c>
      <c r="S678" s="2">
        <f>Financials[[#This Row],[ COGS ]]/Financials[[#This Row],[  Sales ]]</f>
        <v/>
      </c>
      <c r="T678" s="3">
        <f>Financials[[#This Row],[ Discounts ]]/Financials[[#This Row],[  Sales ]]</f>
        <v/>
      </c>
      <c r="U678">
        <f>Financials[[#This Row],[  Sales ]]/Financials[[#This Row],[ Units_Sold ]]</f>
        <v/>
      </c>
      <c r="V678">
        <f>Financials[[#This Row],[ Profit ]]/Financials[[#This Row],[ Units_Sold ]]</f>
        <v/>
      </c>
      <c r="W678">
        <f>IF(Financials[[#This Row],[ Profit ]]&lt;0,1,0)</f>
        <v/>
      </c>
    </row>
    <row r="679">
      <c r="A679" t="inlineStr">
        <is>
          <t>Channel Partners</t>
        </is>
      </c>
      <c r="B679" t="inlineStr">
        <is>
          <t>Mexico</t>
        </is>
      </c>
      <c r="C679" t="inlineStr">
        <is>
          <t xml:space="preserve"> Velo </t>
        </is>
      </c>
      <c r="D679" t="inlineStr">
        <is>
          <t xml:space="preserve"> High </t>
        </is>
      </c>
      <c r="E679" t="n">
        <v>500</v>
      </c>
      <c r="F679" s="69" t="n">
        <v>120</v>
      </c>
      <c r="G679" s="69" t="n">
        <v>12</v>
      </c>
      <c r="H679" s="69" t="n">
        <v>6000</v>
      </c>
      <c r="I679" s="5" t="n">
        <v>900</v>
      </c>
      <c r="J679" s="69" t="n">
        <v>5100</v>
      </c>
      <c r="K679" s="69" t="n">
        <v>1500</v>
      </c>
      <c r="L679" s="69" t="n">
        <v>3600</v>
      </c>
      <c r="M679" s="1" t="n">
        <v>41642</v>
      </c>
      <c r="N679" t="n">
        <v>3</v>
      </c>
      <c r="O679" t="inlineStr">
        <is>
          <t xml:space="preserve"> March </t>
        </is>
      </c>
      <c r="P679" t="n">
        <v>2014</v>
      </c>
      <c r="Q679">
        <f>IF(Financials[[#This Row],[ Units_Sold ]]&lt;&gt;INT(Financials[[#This Row],[ Units_Sold ]]),1,0)</f>
        <v/>
      </c>
      <c r="R679" s="10">
        <f>Financials[[#This Row],[ Profit ]]/Financials[[#This Row],[  Sales ]]</f>
        <v/>
      </c>
      <c r="S679" s="2">
        <f>Financials[[#This Row],[ COGS ]]/Financials[[#This Row],[  Sales ]]</f>
        <v/>
      </c>
      <c r="T679" s="3">
        <f>Financials[[#This Row],[ Discounts ]]/Financials[[#This Row],[  Sales ]]</f>
        <v/>
      </c>
      <c r="U679">
        <f>Financials[[#This Row],[  Sales ]]/Financials[[#This Row],[ Units_Sold ]]</f>
        <v/>
      </c>
      <c r="V679">
        <f>Financials[[#This Row],[ Profit ]]/Financials[[#This Row],[ Units_Sold ]]</f>
        <v/>
      </c>
      <c r="W679">
        <f>IF(Financials[[#This Row],[ Profit ]]&lt;0,1,0)</f>
        <v/>
      </c>
    </row>
    <row r="680">
      <c r="A680" t="inlineStr">
        <is>
          <t>Midmarket</t>
        </is>
      </c>
      <c r="B680" t="inlineStr">
        <is>
          <t>France</t>
        </is>
      </c>
      <c r="C680" t="inlineStr">
        <is>
          <t xml:space="preserve"> Velo </t>
        </is>
      </c>
      <c r="D680" t="inlineStr">
        <is>
          <t xml:space="preserve"> High </t>
        </is>
      </c>
      <c r="E680" t="n">
        <v>2826</v>
      </c>
      <c r="F680" s="69" t="n">
        <v>120</v>
      </c>
      <c r="G680" s="69" t="n">
        <v>15</v>
      </c>
      <c r="H680" s="69" t="n">
        <v>42390</v>
      </c>
      <c r="I680" s="5" t="n">
        <v>6358.5</v>
      </c>
      <c r="J680" s="69" t="n">
        <v>36031.5</v>
      </c>
      <c r="K680" s="69" t="n">
        <v>28260</v>
      </c>
      <c r="L680" s="69" t="n">
        <v>7771.5</v>
      </c>
      <c r="M680" s="1" t="n">
        <v>41644</v>
      </c>
      <c r="N680" t="n">
        <v>5</v>
      </c>
      <c r="O680" t="inlineStr">
        <is>
          <t xml:space="preserve"> May </t>
        </is>
      </c>
      <c r="P680" t="n">
        <v>2014</v>
      </c>
      <c r="Q680">
        <f>IF(Financials[[#This Row],[ Units_Sold ]]&lt;&gt;INT(Financials[[#This Row],[ Units_Sold ]]),1,0)</f>
        <v/>
      </c>
      <c r="R680" s="10">
        <f>Financials[[#This Row],[ Profit ]]/Financials[[#This Row],[  Sales ]]</f>
        <v/>
      </c>
      <c r="S680" s="2">
        <f>Financials[[#This Row],[ COGS ]]/Financials[[#This Row],[  Sales ]]</f>
        <v/>
      </c>
      <c r="T680" s="3">
        <f>Financials[[#This Row],[ Discounts ]]/Financials[[#This Row],[  Sales ]]</f>
        <v/>
      </c>
      <c r="U680">
        <f>Financials[[#This Row],[  Sales ]]/Financials[[#This Row],[ Units_Sold ]]</f>
        <v/>
      </c>
      <c r="V680">
        <f>Financials[[#This Row],[ Profit ]]/Financials[[#This Row],[ Units_Sold ]]</f>
        <v/>
      </c>
      <c r="W680">
        <f>IF(Financials[[#This Row],[ Profit ]]&lt;0,1,0)</f>
        <v/>
      </c>
    </row>
    <row r="681">
      <c r="A681" t="inlineStr">
        <is>
          <t>Enterprise</t>
        </is>
      </c>
      <c r="B681" t="inlineStr">
        <is>
          <t>France</t>
        </is>
      </c>
      <c r="C681" t="inlineStr">
        <is>
          <t xml:space="preserve"> Velo </t>
        </is>
      </c>
      <c r="D681" t="inlineStr">
        <is>
          <t xml:space="preserve"> High </t>
        </is>
      </c>
      <c r="E681" t="n">
        <v>663</v>
      </c>
      <c r="F681" s="69" t="n">
        <v>120</v>
      </c>
      <c r="G681" s="69" t="n">
        <v>125</v>
      </c>
      <c r="H681" s="69" t="n">
        <v>82875</v>
      </c>
      <c r="I681" s="5" t="n">
        <v>12431.25</v>
      </c>
      <c r="J681" s="69" t="n">
        <v>70443.75</v>
      </c>
      <c r="K681" s="69" t="n">
        <v>79560</v>
      </c>
      <c r="L681" s="69" t="n">
        <v>-9116.25</v>
      </c>
      <c r="M681" s="1" t="n">
        <v>41648</v>
      </c>
      <c r="N681" t="n">
        <v>9</v>
      </c>
      <c r="O681" t="inlineStr">
        <is>
          <t xml:space="preserve"> September </t>
        </is>
      </c>
      <c r="P681" t="n">
        <v>2014</v>
      </c>
      <c r="Q681">
        <f>IF(Financials[[#This Row],[ Units_Sold ]]&lt;&gt;INT(Financials[[#This Row],[ Units_Sold ]]),1,0)</f>
        <v/>
      </c>
      <c r="R681" s="10">
        <f>Financials[[#This Row],[ Profit ]]/Financials[[#This Row],[  Sales ]]</f>
        <v/>
      </c>
      <c r="S681" s="2">
        <f>Financials[[#This Row],[ COGS ]]/Financials[[#This Row],[  Sales ]]</f>
        <v/>
      </c>
      <c r="T681" s="3">
        <f>Financials[[#This Row],[ Discounts ]]/Financials[[#This Row],[  Sales ]]</f>
        <v/>
      </c>
      <c r="U681">
        <f>Financials[[#This Row],[  Sales ]]/Financials[[#This Row],[ Units_Sold ]]</f>
        <v/>
      </c>
      <c r="V681">
        <f>Financials[[#This Row],[ Profit ]]/Financials[[#This Row],[ Units_Sold ]]</f>
        <v/>
      </c>
      <c r="W681">
        <f>IF(Financials[[#This Row],[ Profit ]]&lt;0,1,0)</f>
        <v/>
      </c>
    </row>
    <row r="682">
      <c r="A682" t="inlineStr">
        <is>
          <t>Small Business</t>
        </is>
      </c>
      <c r="B682" t="inlineStr">
        <is>
          <t>United States of America</t>
        </is>
      </c>
      <c r="C682" t="inlineStr">
        <is>
          <t xml:space="preserve"> Velo </t>
        </is>
      </c>
      <c r="D682" t="inlineStr">
        <is>
          <t xml:space="preserve"> High </t>
        </is>
      </c>
      <c r="E682" t="n">
        <v>2574</v>
      </c>
      <c r="F682" s="69" t="n">
        <v>120</v>
      </c>
      <c r="G682" s="69" t="n">
        <v>300</v>
      </c>
      <c r="H682" s="69" t="n">
        <v>772200</v>
      </c>
      <c r="I682" s="5" t="n">
        <v>115830</v>
      </c>
      <c r="J682" s="69" t="n">
        <v>656370</v>
      </c>
      <c r="K682" s="69" t="n">
        <v>643500</v>
      </c>
      <c r="L682" s="69" t="n">
        <v>12870</v>
      </c>
      <c r="M682" s="1" t="n">
        <v>41285</v>
      </c>
      <c r="N682" t="n">
        <v>11</v>
      </c>
      <c r="O682" t="inlineStr">
        <is>
          <t xml:space="preserve"> November </t>
        </is>
      </c>
      <c r="P682" t="n">
        <v>2013</v>
      </c>
      <c r="Q682">
        <f>IF(Financials[[#This Row],[ Units_Sold ]]&lt;&gt;INT(Financials[[#This Row],[ Units_Sold ]]),1,0)</f>
        <v/>
      </c>
      <c r="R682" s="10">
        <f>Financials[[#This Row],[ Profit ]]/Financials[[#This Row],[  Sales ]]</f>
        <v/>
      </c>
      <c r="S682" s="2">
        <f>Financials[[#This Row],[ COGS ]]/Financials[[#This Row],[  Sales ]]</f>
        <v/>
      </c>
      <c r="T682" s="3">
        <f>Financials[[#This Row],[ Discounts ]]/Financials[[#This Row],[  Sales ]]</f>
        <v/>
      </c>
      <c r="U682">
        <f>Financials[[#This Row],[  Sales ]]/Financials[[#This Row],[ Units_Sold ]]</f>
        <v/>
      </c>
      <c r="V682">
        <f>Financials[[#This Row],[ Profit ]]/Financials[[#This Row],[ Units_Sold ]]</f>
        <v/>
      </c>
      <c r="W682">
        <f>IF(Financials[[#This Row],[ Profit ]]&lt;0,1,0)</f>
        <v/>
      </c>
    </row>
    <row r="683">
      <c r="A683" t="inlineStr">
        <is>
          <t>Enterprise</t>
        </is>
      </c>
      <c r="B683" t="inlineStr">
        <is>
          <t>United States of America</t>
        </is>
      </c>
      <c r="C683" t="inlineStr">
        <is>
          <t xml:space="preserve"> Velo </t>
        </is>
      </c>
      <c r="D683" t="inlineStr">
        <is>
          <t xml:space="preserve"> High </t>
        </is>
      </c>
      <c r="E683" t="n">
        <v>2438</v>
      </c>
      <c r="F683" s="69" t="n">
        <v>120</v>
      </c>
      <c r="G683" s="69" t="n">
        <v>125</v>
      </c>
      <c r="H683" s="69" t="n">
        <v>304750</v>
      </c>
      <c r="I683" s="5" t="n">
        <v>45712.5</v>
      </c>
      <c r="J683" s="69" t="n">
        <v>259037.5</v>
      </c>
      <c r="K683" s="69" t="n">
        <v>292560</v>
      </c>
      <c r="L683" s="69" t="n">
        <v>-33522.5</v>
      </c>
      <c r="M683" s="1" t="n">
        <v>41286</v>
      </c>
      <c r="N683" t="n">
        <v>12</v>
      </c>
      <c r="O683" t="inlineStr">
        <is>
          <t xml:space="preserve"> December </t>
        </is>
      </c>
      <c r="P683" t="n">
        <v>2013</v>
      </c>
      <c r="Q683">
        <f>IF(Financials[[#This Row],[ Units_Sold ]]&lt;&gt;INT(Financials[[#This Row],[ Units_Sold ]]),1,0)</f>
        <v/>
      </c>
      <c r="R683" s="10">
        <f>Financials[[#This Row],[ Profit ]]/Financials[[#This Row],[  Sales ]]</f>
        <v/>
      </c>
      <c r="S683" s="2">
        <f>Financials[[#This Row],[ COGS ]]/Financials[[#This Row],[  Sales ]]</f>
        <v/>
      </c>
      <c r="T683" s="3">
        <f>Financials[[#This Row],[ Discounts ]]/Financials[[#This Row],[  Sales ]]</f>
        <v/>
      </c>
      <c r="U683">
        <f>Financials[[#This Row],[  Sales ]]/Financials[[#This Row],[ Units_Sold ]]</f>
        <v/>
      </c>
      <c r="V683">
        <f>Financials[[#This Row],[ Profit ]]/Financials[[#This Row],[ Units_Sold ]]</f>
        <v/>
      </c>
      <c r="W683">
        <f>IF(Financials[[#This Row],[ Profit ]]&lt;0,1,0)</f>
        <v/>
      </c>
    </row>
    <row r="684">
      <c r="A684" t="inlineStr">
        <is>
          <t>Channel Partners</t>
        </is>
      </c>
      <c r="B684" t="inlineStr">
        <is>
          <t>United States of America</t>
        </is>
      </c>
      <c r="C684" t="inlineStr">
        <is>
          <t xml:space="preserve"> Velo </t>
        </is>
      </c>
      <c r="D684" t="inlineStr">
        <is>
          <t xml:space="preserve"> High </t>
        </is>
      </c>
      <c r="E684" t="n">
        <v>914</v>
      </c>
      <c r="F684" s="69" t="n">
        <v>120</v>
      </c>
      <c r="G684" s="69" t="n">
        <v>12</v>
      </c>
      <c r="H684" s="69" t="n">
        <v>10968</v>
      </c>
      <c r="I684" s="5" t="n">
        <v>1645.2</v>
      </c>
      <c r="J684" s="69" t="n">
        <v>9322.799999999999</v>
      </c>
      <c r="K684" s="69" t="n">
        <v>2742</v>
      </c>
      <c r="L684" s="69" t="n">
        <v>6580.8</v>
      </c>
      <c r="M684" s="1" t="n">
        <v>41651</v>
      </c>
      <c r="N684" t="n">
        <v>12</v>
      </c>
      <c r="O684" t="inlineStr">
        <is>
          <t xml:space="preserve"> December </t>
        </is>
      </c>
      <c r="P684" t="n">
        <v>2014</v>
      </c>
      <c r="Q684">
        <f>IF(Financials[[#This Row],[ Units_Sold ]]&lt;&gt;INT(Financials[[#This Row],[ Units_Sold ]]),1,0)</f>
        <v/>
      </c>
      <c r="R684" s="10">
        <f>Financials[[#This Row],[ Profit ]]/Financials[[#This Row],[  Sales ]]</f>
        <v/>
      </c>
      <c r="S684" s="2">
        <f>Financials[[#This Row],[ COGS ]]/Financials[[#This Row],[  Sales ]]</f>
        <v/>
      </c>
      <c r="T684" s="3">
        <f>Financials[[#This Row],[ Discounts ]]/Financials[[#This Row],[  Sales ]]</f>
        <v/>
      </c>
      <c r="U684">
        <f>Financials[[#This Row],[  Sales ]]/Financials[[#This Row],[ Units_Sold ]]</f>
        <v/>
      </c>
      <c r="V684">
        <f>Financials[[#This Row],[ Profit ]]/Financials[[#This Row],[ Units_Sold ]]</f>
        <v/>
      </c>
      <c r="W684">
        <f>IF(Financials[[#This Row],[ Profit ]]&lt;0,1,0)</f>
        <v/>
      </c>
    </row>
    <row r="685">
      <c r="A685" t="inlineStr">
        <is>
          <t>Government</t>
        </is>
      </c>
      <c r="B685" t="inlineStr">
        <is>
          <t>Canada</t>
        </is>
      </c>
      <c r="C685" t="inlineStr">
        <is>
          <t xml:space="preserve"> VTT </t>
        </is>
      </c>
      <c r="D685" t="inlineStr">
        <is>
          <t xml:space="preserve"> High </t>
        </is>
      </c>
      <c r="E685" t="n">
        <v>865.5</v>
      </c>
      <c r="F685" s="69" t="n">
        <v>250</v>
      </c>
      <c r="G685" s="69" t="n">
        <v>20</v>
      </c>
      <c r="H685" s="69" t="n">
        <v>17310</v>
      </c>
      <c r="I685" s="5" t="n">
        <v>2596.5</v>
      </c>
      <c r="J685" s="69" t="n">
        <v>14713.5</v>
      </c>
      <c r="K685" s="69" t="n">
        <v>8655</v>
      </c>
      <c r="L685" s="69" t="n">
        <v>6058.5</v>
      </c>
      <c r="M685" s="1" t="n">
        <v>41646</v>
      </c>
      <c r="N685" t="n">
        <v>7</v>
      </c>
      <c r="O685" t="inlineStr">
        <is>
          <t xml:space="preserve"> July </t>
        </is>
      </c>
      <c r="P685" t="n">
        <v>2014</v>
      </c>
      <c r="Q685">
        <f>IF(Financials[[#This Row],[ Units_Sold ]]&lt;&gt;INT(Financials[[#This Row],[ Units_Sold ]]),1,0)</f>
        <v/>
      </c>
      <c r="R685" s="10">
        <f>Financials[[#This Row],[ Profit ]]/Financials[[#This Row],[  Sales ]]</f>
        <v/>
      </c>
      <c r="S685" s="2">
        <f>Financials[[#This Row],[ COGS ]]/Financials[[#This Row],[  Sales ]]</f>
        <v/>
      </c>
      <c r="T685" s="3">
        <f>Financials[[#This Row],[ Discounts ]]/Financials[[#This Row],[  Sales ]]</f>
        <v/>
      </c>
      <c r="U685">
        <f>Financials[[#This Row],[  Sales ]]/Financials[[#This Row],[ Units_Sold ]]</f>
        <v/>
      </c>
      <c r="V685">
        <f>Financials[[#This Row],[ Profit ]]/Financials[[#This Row],[ Units_Sold ]]</f>
        <v/>
      </c>
      <c r="W685">
        <f>IF(Financials[[#This Row],[ Profit ]]&lt;0,1,0)</f>
        <v/>
      </c>
    </row>
    <row r="686">
      <c r="A686" t="inlineStr">
        <is>
          <t>Midmarket</t>
        </is>
      </c>
      <c r="B686" t="inlineStr">
        <is>
          <t>Germany</t>
        </is>
      </c>
      <c r="C686" t="inlineStr">
        <is>
          <t xml:space="preserve"> VTT </t>
        </is>
      </c>
      <c r="D686" t="inlineStr">
        <is>
          <t xml:space="preserve"> High </t>
        </is>
      </c>
      <c r="E686" t="n">
        <v>492</v>
      </c>
      <c r="F686" s="69" t="n">
        <v>250</v>
      </c>
      <c r="G686" s="69" t="n">
        <v>15</v>
      </c>
      <c r="H686" s="69" t="n">
        <v>7380</v>
      </c>
      <c r="I686" s="5" t="n">
        <v>1107</v>
      </c>
      <c r="J686" s="69" t="n">
        <v>6273</v>
      </c>
      <c r="K686" s="69" t="n">
        <v>4920</v>
      </c>
      <c r="L686" s="69" t="n">
        <v>1353</v>
      </c>
      <c r="M686" s="1" t="n">
        <v>41646</v>
      </c>
      <c r="N686" t="n">
        <v>7</v>
      </c>
      <c r="O686" t="inlineStr">
        <is>
          <t xml:space="preserve"> July </t>
        </is>
      </c>
      <c r="P686" t="n">
        <v>2014</v>
      </c>
      <c r="Q686">
        <f>IF(Financials[[#This Row],[ Units_Sold ]]&lt;&gt;INT(Financials[[#This Row],[ Units_Sold ]]),1,0)</f>
        <v/>
      </c>
      <c r="R686" s="10">
        <f>Financials[[#This Row],[ Profit ]]/Financials[[#This Row],[  Sales ]]</f>
        <v/>
      </c>
      <c r="S686" s="2">
        <f>Financials[[#This Row],[ COGS ]]/Financials[[#This Row],[  Sales ]]</f>
        <v/>
      </c>
      <c r="T686" s="3">
        <f>Financials[[#This Row],[ Discounts ]]/Financials[[#This Row],[  Sales ]]</f>
        <v/>
      </c>
      <c r="U686">
        <f>Financials[[#This Row],[  Sales ]]/Financials[[#This Row],[ Units_Sold ]]</f>
        <v/>
      </c>
      <c r="V686">
        <f>Financials[[#This Row],[ Profit ]]/Financials[[#This Row],[ Units_Sold ]]</f>
        <v/>
      </c>
      <c r="W686">
        <f>IF(Financials[[#This Row],[ Profit ]]&lt;0,1,0)</f>
        <v/>
      </c>
    </row>
    <row r="687">
      <c r="A687" t="inlineStr">
        <is>
          <t>Government</t>
        </is>
      </c>
      <c r="B687" t="inlineStr">
        <is>
          <t>United States of America</t>
        </is>
      </c>
      <c r="C687" t="inlineStr">
        <is>
          <t xml:space="preserve"> VTT </t>
        </is>
      </c>
      <c r="D687" t="inlineStr">
        <is>
          <t xml:space="preserve"> High </t>
        </is>
      </c>
      <c r="E687" t="n">
        <v>267</v>
      </c>
      <c r="F687" s="69" t="n">
        <v>250</v>
      </c>
      <c r="G687" s="69" t="n">
        <v>20</v>
      </c>
      <c r="H687" s="69" t="n">
        <v>5340</v>
      </c>
      <c r="I687" s="5" t="n">
        <v>801</v>
      </c>
      <c r="J687" s="69" t="n">
        <v>4539</v>
      </c>
      <c r="K687" s="69" t="n">
        <v>2670</v>
      </c>
      <c r="L687" s="69" t="n">
        <v>1869</v>
      </c>
      <c r="M687" s="1" t="n">
        <v>41284</v>
      </c>
      <c r="N687" t="n">
        <v>10</v>
      </c>
      <c r="O687" t="inlineStr">
        <is>
          <t xml:space="preserve"> October </t>
        </is>
      </c>
      <c r="P687" t="n">
        <v>2013</v>
      </c>
      <c r="Q687">
        <f>IF(Financials[[#This Row],[ Units_Sold ]]&lt;&gt;INT(Financials[[#This Row],[ Units_Sold ]]),1,0)</f>
        <v/>
      </c>
      <c r="R687" s="10">
        <f>Financials[[#This Row],[ Profit ]]/Financials[[#This Row],[  Sales ]]</f>
        <v/>
      </c>
      <c r="S687" s="2">
        <f>Financials[[#This Row],[ COGS ]]/Financials[[#This Row],[  Sales ]]</f>
        <v/>
      </c>
      <c r="T687" s="3">
        <f>Financials[[#This Row],[ Discounts ]]/Financials[[#This Row],[  Sales ]]</f>
        <v/>
      </c>
      <c r="U687">
        <f>Financials[[#This Row],[  Sales ]]/Financials[[#This Row],[ Units_Sold ]]</f>
        <v/>
      </c>
      <c r="V687">
        <f>Financials[[#This Row],[ Profit ]]/Financials[[#This Row],[ Units_Sold ]]</f>
        <v/>
      </c>
      <c r="W687">
        <f>IF(Financials[[#This Row],[ Profit ]]&lt;0,1,0)</f>
        <v/>
      </c>
    </row>
    <row r="688">
      <c r="A688" t="inlineStr">
        <is>
          <t>Midmarket</t>
        </is>
      </c>
      <c r="B688" t="inlineStr">
        <is>
          <t>Germany</t>
        </is>
      </c>
      <c r="C688" t="inlineStr">
        <is>
          <t xml:space="preserve"> VTT </t>
        </is>
      </c>
      <c r="D688" t="inlineStr">
        <is>
          <t xml:space="preserve"> High </t>
        </is>
      </c>
      <c r="E688" t="n">
        <v>1175</v>
      </c>
      <c r="F688" s="69" t="n">
        <v>250</v>
      </c>
      <c r="G688" s="69" t="n">
        <v>15</v>
      </c>
      <c r="H688" s="69" t="n">
        <v>17625</v>
      </c>
      <c r="I688" s="5" t="n">
        <v>2643.75</v>
      </c>
      <c r="J688" s="69" t="n">
        <v>14981.25</v>
      </c>
      <c r="K688" s="69" t="n">
        <v>11750</v>
      </c>
      <c r="L688" s="69" t="n">
        <v>3231.25</v>
      </c>
      <c r="M688" s="1" t="n">
        <v>41649</v>
      </c>
      <c r="N688" t="n">
        <v>10</v>
      </c>
      <c r="O688" t="inlineStr">
        <is>
          <t xml:space="preserve"> October </t>
        </is>
      </c>
      <c r="P688" t="n">
        <v>2014</v>
      </c>
      <c r="Q688">
        <f>IF(Financials[[#This Row],[ Units_Sold ]]&lt;&gt;INT(Financials[[#This Row],[ Units_Sold ]]),1,0)</f>
        <v/>
      </c>
      <c r="R688" s="10">
        <f>Financials[[#This Row],[ Profit ]]/Financials[[#This Row],[  Sales ]]</f>
        <v/>
      </c>
      <c r="S688" s="2">
        <f>Financials[[#This Row],[ COGS ]]/Financials[[#This Row],[  Sales ]]</f>
        <v/>
      </c>
      <c r="T688" s="3">
        <f>Financials[[#This Row],[ Discounts ]]/Financials[[#This Row],[  Sales ]]</f>
        <v/>
      </c>
      <c r="U688">
        <f>Financials[[#This Row],[  Sales ]]/Financials[[#This Row],[ Units_Sold ]]</f>
        <v/>
      </c>
      <c r="V688">
        <f>Financials[[#This Row],[ Profit ]]/Financials[[#This Row],[ Units_Sold ]]</f>
        <v/>
      </c>
      <c r="W688">
        <f>IF(Financials[[#This Row],[ Profit ]]&lt;0,1,0)</f>
        <v/>
      </c>
    </row>
    <row r="689">
      <c r="A689" t="inlineStr">
        <is>
          <t>Enterprise</t>
        </is>
      </c>
      <c r="B689" t="inlineStr">
        <is>
          <t>Canada</t>
        </is>
      </c>
      <c r="C689" t="inlineStr">
        <is>
          <t xml:space="preserve"> VTT </t>
        </is>
      </c>
      <c r="D689" t="inlineStr">
        <is>
          <t xml:space="preserve"> High </t>
        </is>
      </c>
      <c r="E689" t="n">
        <v>2954</v>
      </c>
      <c r="F689" s="69" t="n">
        <v>250</v>
      </c>
      <c r="G689" s="69" t="n">
        <v>125</v>
      </c>
      <c r="H689" s="69" t="n">
        <v>369250</v>
      </c>
      <c r="I689" s="5" t="n">
        <v>55387.5</v>
      </c>
      <c r="J689" s="69" t="n">
        <v>313862.5</v>
      </c>
      <c r="K689" s="69" t="n">
        <v>354480</v>
      </c>
      <c r="L689" s="69" t="n">
        <v>-40617.5</v>
      </c>
      <c r="M689" s="1" t="n">
        <v>41285</v>
      </c>
      <c r="N689" t="n">
        <v>11</v>
      </c>
      <c r="O689" t="inlineStr">
        <is>
          <t xml:space="preserve"> November </t>
        </is>
      </c>
      <c r="P689" t="n">
        <v>2013</v>
      </c>
      <c r="Q689">
        <f>IF(Financials[[#This Row],[ Units_Sold ]]&lt;&gt;INT(Financials[[#This Row],[ Units_Sold ]]),1,0)</f>
        <v/>
      </c>
      <c r="R689" s="10">
        <f>Financials[[#This Row],[ Profit ]]/Financials[[#This Row],[  Sales ]]</f>
        <v/>
      </c>
      <c r="S689" s="2">
        <f>Financials[[#This Row],[ COGS ]]/Financials[[#This Row],[  Sales ]]</f>
        <v/>
      </c>
      <c r="T689" s="3">
        <f>Financials[[#This Row],[ Discounts ]]/Financials[[#This Row],[  Sales ]]</f>
        <v/>
      </c>
      <c r="U689">
        <f>Financials[[#This Row],[  Sales ]]/Financials[[#This Row],[ Units_Sold ]]</f>
        <v/>
      </c>
      <c r="V689">
        <f>Financials[[#This Row],[ Profit ]]/Financials[[#This Row],[ Units_Sold ]]</f>
        <v/>
      </c>
      <c r="W689">
        <f>IF(Financials[[#This Row],[ Profit ]]&lt;0,1,0)</f>
        <v/>
      </c>
    </row>
    <row r="690">
      <c r="A690" t="inlineStr">
        <is>
          <t>Enterprise</t>
        </is>
      </c>
      <c r="B690" t="inlineStr">
        <is>
          <t>Germany</t>
        </is>
      </c>
      <c r="C690" t="inlineStr">
        <is>
          <t xml:space="preserve"> VTT </t>
        </is>
      </c>
      <c r="D690" t="inlineStr">
        <is>
          <t xml:space="preserve"> High </t>
        </is>
      </c>
      <c r="E690" t="n">
        <v>552</v>
      </c>
      <c r="F690" s="69" t="n">
        <v>250</v>
      </c>
      <c r="G690" s="69" t="n">
        <v>125</v>
      </c>
      <c r="H690" s="69" t="n">
        <v>69000</v>
      </c>
      <c r="I690" s="5" t="n">
        <v>10350</v>
      </c>
      <c r="J690" s="69" t="n">
        <v>58650</v>
      </c>
      <c r="K690" s="69" t="n">
        <v>66240</v>
      </c>
      <c r="L690" s="69" t="n">
        <v>-7590</v>
      </c>
      <c r="M690" s="1" t="n">
        <v>41650</v>
      </c>
      <c r="N690" t="n">
        <v>11</v>
      </c>
      <c r="O690" t="inlineStr">
        <is>
          <t xml:space="preserve"> November </t>
        </is>
      </c>
      <c r="P690" t="n">
        <v>2014</v>
      </c>
      <c r="Q690">
        <f>IF(Financials[[#This Row],[ Units_Sold ]]&lt;&gt;INT(Financials[[#This Row],[ Units_Sold ]]),1,0)</f>
        <v/>
      </c>
      <c r="R690" s="10">
        <f>Financials[[#This Row],[ Profit ]]/Financials[[#This Row],[  Sales ]]</f>
        <v/>
      </c>
      <c r="S690" s="2">
        <f>Financials[[#This Row],[ COGS ]]/Financials[[#This Row],[  Sales ]]</f>
        <v/>
      </c>
      <c r="T690" s="3">
        <f>Financials[[#This Row],[ Discounts ]]/Financials[[#This Row],[  Sales ]]</f>
        <v/>
      </c>
      <c r="U690">
        <f>Financials[[#This Row],[  Sales ]]/Financials[[#This Row],[ Units_Sold ]]</f>
        <v/>
      </c>
      <c r="V690">
        <f>Financials[[#This Row],[ Profit ]]/Financials[[#This Row],[ Units_Sold ]]</f>
        <v/>
      </c>
      <c r="W690">
        <f>IF(Financials[[#This Row],[ Profit ]]&lt;0,1,0)</f>
        <v/>
      </c>
    </row>
    <row r="691">
      <c r="A691" t="inlineStr">
        <is>
          <t>Government</t>
        </is>
      </c>
      <c r="B691" t="inlineStr">
        <is>
          <t>France</t>
        </is>
      </c>
      <c r="C691" t="inlineStr">
        <is>
          <t xml:space="preserve"> VTT </t>
        </is>
      </c>
      <c r="D691" t="inlineStr">
        <is>
          <t xml:space="preserve"> High </t>
        </is>
      </c>
      <c r="E691" t="n">
        <v>293</v>
      </c>
      <c r="F691" s="69" t="n">
        <v>250</v>
      </c>
      <c r="G691" s="69" t="n">
        <v>20</v>
      </c>
      <c r="H691" s="69" t="n">
        <v>5860</v>
      </c>
      <c r="I691" s="5" t="n">
        <v>879</v>
      </c>
      <c r="J691" s="69" t="n">
        <v>4981</v>
      </c>
      <c r="K691" s="69" t="n">
        <v>2930</v>
      </c>
      <c r="L691" s="69" t="n">
        <v>2051</v>
      </c>
      <c r="M691" s="1" t="n">
        <v>41651</v>
      </c>
      <c r="N691" t="n">
        <v>12</v>
      </c>
      <c r="O691" t="inlineStr">
        <is>
          <t xml:space="preserve"> December </t>
        </is>
      </c>
      <c r="P691" t="n">
        <v>2014</v>
      </c>
      <c r="Q691">
        <f>IF(Financials[[#This Row],[ Units_Sold ]]&lt;&gt;INT(Financials[[#This Row],[ Units_Sold ]]),1,0)</f>
        <v/>
      </c>
      <c r="R691" s="10">
        <f>Financials[[#This Row],[ Profit ]]/Financials[[#This Row],[  Sales ]]</f>
        <v/>
      </c>
      <c r="S691" s="2">
        <f>Financials[[#This Row],[ COGS ]]/Financials[[#This Row],[  Sales ]]</f>
        <v/>
      </c>
      <c r="T691" s="3">
        <f>Financials[[#This Row],[ Discounts ]]/Financials[[#This Row],[  Sales ]]</f>
        <v/>
      </c>
      <c r="U691">
        <f>Financials[[#This Row],[  Sales ]]/Financials[[#This Row],[ Units_Sold ]]</f>
        <v/>
      </c>
      <c r="V691">
        <f>Financials[[#This Row],[ Profit ]]/Financials[[#This Row],[ Units_Sold ]]</f>
        <v/>
      </c>
      <c r="W691">
        <f>IF(Financials[[#This Row],[ Profit ]]&lt;0,1,0)</f>
        <v/>
      </c>
    </row>
    <row r="692">
      <c r="A692" t="inlineStr">
        <is>
          <t>Small Business</t>
        </is>
      </c>
      <c r="B692" t="inlineStr">
        <is>
          <t>France</t>
        </is>
      </c>
      <c r="C692" t="inlineStr">
        <is>
          <t xml:space="preserve"> Amarilla </t>
        </is>
      </c>
      <c r="D692" t="inlineStr">
        <is>
          <t xml:space="preserve"> High </t>
        </is>
      </c>
      <c r="E692" t="n">
        <v>2475</v>
      </c>
      <c r="F692" s="69" t="n">
        <v>260</v>
      </c>
      <c r="G692" s="69" t="n">
        <v>300</v>
      </c>
      <c r="H692" s="69" t="n">
        <v>742500</v>
      </c>
      <c r="I692" s="5" t="n">
        <v>111375</v>
      </c>
      <c r="J692" s="69" t="n">
        <v>631125</v>
      </c>
      <c r="K692" s="69" t="n">
        <v>618750</v>
      </c>
      <c r="L692" s="69" t="n">
        <v>12375</v>
      </c>
      <c r="M692" s="1" t="n">
        <v>41642</v>
      </c>
      <c r="N692" t="n">
        <v>3</v>
      </c>
      <c r="O692" t="inlineStr">
        <is>
          <t xml:space="preserve"> March </t>
        </is>
      </c>
      <c r="P692" t="n">
        <v>2014</v>
      </c>
      <c r="Q692">
        <f>IF(Financials[[#This Row],[ Units_Sold ]]&lt;&gt;INT(Financials[[#This Row],[ Units_Sold ]]),1,0)</f>
        <v/>
      </c>
      <c r="R692" s="10">
        <f>Financials[[#This Row],[ Profit ]]/Financials[[#This Row],[  Sales ]]</f>
        <v/>
      </c>
      <c r="S692" s="2">
        <f>Financials[[#This Row],[ COGS ]]/Financials[[#This Row],[  Sales ]]</f>
        <v/>
      </c>
      <c r="T692" s="3">
        <f>Financials[[#This Row],[ Discounts ]]/Financials[[#This Row],[  Sales ]]</f>
        <v/>
      </c>
      <c r="U692">
        <f>Financials[[#This Row],[  Sales ]]/Financials[[#This Row],[ Units_Sold ]]</f>
        <v/>
      </c>
      <c r="V692">
        <f>Financials[[#This Row],[ Profit ]]/Financials[[#This Row],[ Units_Sold ]]</f>
        <v/>
      </c>
      <c r="W692">
        <f>IF(Financials[[#This Row],[ Profit ]]&lt;0,1,0)</f>
        <v/>
      </c>
    </row>
    <row r="693">
      <c r="A693" t="inlineStr">
        <is>
          <t>Small Business</t>
        </is>
      </c>
      <c r="B693" t="inlineStr">
        <is>
          <t>Mexico</t>
        </is>
      </c>
      <c r="C693" t="inlineStr">
        <is>
          <t xml:space="preserve"> Amarilla </t>
        </is>
      </c>
      <c r="D693" t="inlineStr">
        <is>
          <t xml:space="preserve"> High </t>
        </is>
      </c>
      <c r="E693" t="n">
        <v>546</v>
      </c>
      <c r="F693" s="69" t="n">
        <v>260</v>
      </c>
      <c r="G693" s="69" t="n">
        <v>300</v>
      </c>
      <c r="H693" s="69" t="n">
        <v>163800</v>
      </c>
      <c r="I693" s="5" t="n">
        <v>24570</v>
      </c>
      <c r="J693" s="69" t="n">
        <v>139230</v>
      </c>
      <c r="K693" s="69" t="n">
        <v>136500</v>
      </c>
      <c r="L693" s="69" t="n">
        <v>2730</v>
      </c>
      <c r="M693" s="1" t="n">
        <v>41649</v>
      </c>
      <c r="N693" t="n">
        <v>10</v>
      </c>
      <c r="O693" t="inlineStr">
        <is>
          <t xml:space="preserve"> October </t>
        </is>
      </c>
      <c r="P693" t="n">
        <v>2014</v>
      </c>
      <c r="Q693">
        <f>IF(Financials[[#This Row],[ Units_Sold ]]&lt;&gt;INT(Financials[[#This Row],[ Units_Sold ]]),1,0)</f>
        <v/>
      </c>
      <c r="R693" s="10">
        <f>Financials[[#This Row],[ Profit ]]/Financials[[#This Row],[  Sales ]]</f>
        <v/>
      </c>
      <c r="S693" s="2">
        <f>Financials[[#This Row],[ COGS ]]/Financials[[#This Row],[  Sales ]]</f>
        <v/>
      </c>
      <c r="T693" s="3">
        <f>Financials[[#This Row],[ Discounts ]]/Financials[[#This Row],[  Sales ]]</f>
        <v/>
      </c>
      <c r="U693">
        <f>Financials[[#This Row],[  Sales ]]/Financials[[#This Row],[ Units_Sold ]]</f>
        <v/>
      </c>
      <c r="V693">
        <f>Financials[[#This Row],[ Profit ]]/Financials[[#This Row],[ Units_Sold ]]</f>
        <v/>
      </c>
      <c r="W693">
        <f>IF(Financials[[#This Row],[ Profit ]]&lt;0,1,0)</f>
        <v/>
      </c>
    </row>
    <row r="694">
      <c r="A694" t="inlineStr">
        <is>
          <t>Government</t>
        </is>
      </c>
      <c r="B694" t="inlineStr">
        <is>
          <t>Mexico</t>
        </is>
      </c>
      <c r="C694" t="inlineStr">
        <is>
          <t xml:space="preserve"> Montana </t>
        </is>
      </c>
      <c r="D694" t="inlineStr">
        <is>
          <t xml:space="preserve"> High </t>
        </is>
      </c>
      <c r="E694" t="n">
        <v>1368</v>
      </c>
      <c r="F694" s="69" t="n">
        <v>5</v>
      </c>
      <c r="G694" s="69" t="n">
        <v>7</v>
      </c>
      <c r="H694" s="69" t="n">
        <v>9576</v>
      </c>
      <c r="I694" s="5" t="n">
        <v>1436.4</v>
      </c>
      <c r="J694" s="69" t="n">
        <v>8139.6</v>
      </c>
      <c r="K694" s="69" t="n">
        <v>6840</v>
      </c>
      <c r="L694" s="69" t="n">
        <v>1299.6</v>
      </c>
      <c r="M694" s="1" t="n">
        <v>41641</v>
      </c>
      <c r="N694" t="n">
        <v>2</v>
      </c>
      <c r="O694" t="inlineStr">
        <is>
          <t xml:space="preserve"> February </t>
        </is>
      </c>
      <c r="P694" t="n">
        <v>2014</v>
      </c>
      <c r="Q694">
        <f>IF(Financials[[#This Row],[ Units_Sold ]]&lt;&gt;INT(Financials[[#This Row],[ Units_Sold ]]),1,0)</f>
        <v/>
      </c>
      <c r="R694" s="10">
        <f>Financials[[#This Row],[ Profit ]]/Financials[[#This Row],[  Sales ]]</f>
        <v/>
      </c>
      <c r="S694" s="2">
        <f>Financials[[#This Row],[ COGS ]]/Financials[[#This Row],[  Sales ]]</f>
        <v/>
      </c>
      <c r="T694" s="3">
        <f>Financials[[#This Row],[ Discounts ]]/Financials[[#This Row],[  Sales ]]</f>
        <v/>
      </c>
      <c r="U694">
        <f>Financials[[#This Row],[  Sales ]]/Financials[[#This Row],[ Units_Sold ]]</f>
        <v/>
      </c>
      <c r="V694">
        <f>Financials[[#This Row],[ Profit ]]/Financials[[#This Row],[ Units_Sold ]]</f>
        <v/>
      </c>
      <c r="W694">
        <f>IF(Financials[[#This Row],[ Profit ]]&lt;0,1,0)</f>
        <v/>
      </c>
    </row>
    <row r="695">
      <c r="A695" t="inlineStr">
        <is>
          <t>Government</t>
        </is>
      </c>
      <c r="B695" t="inlineStr">
        <is>
          <t>Canada</t>
        </is>
      </c>
      <c r="C695" t="inlineStr">
        <is>
          <t xml:space="preserve"> Paseo </t>
        </is>
      </c>
      <c r="D695" t="inlineStr">
        <is>
          <t xml:space="preserve"> High </t>
        </is>
      </c>
      <c r="E695" t="n">
        <v>723</v>
      </c>
      <c r="F695" s="69" t="n">
        <v>10</v>
      </c>
      <c r="G695" s="69" t="n">
        <v>7</v>
      </c>
      <c r="H695" s="69" t="n">
        <v>5061</v>
      </c>
      <c r="I695" s="5" t="n">
        <v>759.15</v>
      </c>
      <c r="J695" s="69" t="n">
        <v>4301.85</v>
      </c>
      <c r="K695" s="69" t="n">
        <v>3615</v>
      </c>
      <c r="L695" s="69" t="n">
        <v>686.85</v>
      </c>
      <c r="M695" s="1" t="n">
        <v>41643</v>
      </c>
      <c r="N695" t="n">
        <v>4</v>
      </c>
      <c r="O695" t="inlineStr">
        <is>
          <t xml:space="preserve"> April </t>
        </is>
      </c>
      <c r="P695" t="n">
        <v>2014</v>
      </c>
      <c r="Q695">
        <f>IF(Financials[[#This Row],[ Units_Sold ]]&lt;&gt;INT(Financials[[#This Row],[ Units_Sold ]]),1,0)</f>
        <v/>
      </c>
      <c r="R695" s="10">
        <f>Financials[[#This Row],[ Profit ]]/Financials[[#This Row],[  Sales ]]</f>
        <v/>
      </c>
      <c r="S695" s="2">
        <f>Financials[[#This Row],[ COGS ]]/Financials[[#This Row],[  Sales ]]</f>
        <v/>
      </c>
      <c r="T695" s="3">
        <f>Financials[[#This Row],[ Discounts ]]/Financials[[#This Row],[  Sales ]]</f>
        <v/>
      </c>
      <c r="U695">
        <f>Financials[[#This Row],[  Sales ]]/Financials[[#This Row],[ Units_Sold ]]</f>
        <v/>
      </c>
      <c r="V695">
        <f>Financials[[#This Row],[ Profit ]]/Financials[[#This Row],[ Units_Sold ]]</f>
        <v/>
      </c>
      <c r="W695">
        <f>IF(Financials[[#This Row],[ Profit ]]&lt;0,1,0)</f>
        <v/>
      </c>
    </row>
    <row r="696">
      <c r="A696" t="inlineStr">
        <is>
          <t>Channel Partners</t>
        </is>
      </c>
      <c r="B696" t="inlineStr">
        <is>
          <t>United States of America</t>
        </is>
      </c>
      <c r="C696" t="inlineStr">
        <is>
          <t xml:space="preserve"> VTT </t>
        </is>
      </c>
      <c r="D696" t="inlineStr">
        <is>
          <t xml:space="preserve"> High </t>
        </is>
      </c>
      <c r="E696" t="n">
        <v>1806</v>
      </c>
      <c r="F696" s="69" t="n">
        <v>250</v>
      </c>
      <c r="G696" s="69" t="n">
        <v>12</v>
      </c>
      <c r="H696" s="69" t="n">
        <v>21672</v>
      </c>
      <c r="I696" s="5" t="n">
        <v>3250.8</v>
      </c>
      <c r="J696" s="69" t="n">
        <v>18421.2</v>
      </c>
      <c r="K696" s="69" t="n">
        <v>5418</v>
      </c>
      <c r="L696" s="69" t="n">
        <v>13003.2</v>
      </c>
      <c r="M696" s="1" t="n">
        <v>41644</v>
      </c>
      <c r="N696" t="n">
        <v>5</v>
      </c>
      <c r="O696" t="inlineStr">
        <is>
          <t xml:space="preserve"> May </t>
        </is>
      </c>
      <c r="P696" t="n">
        <v>2014</v>
      </c>
      <c r="Q696">
        <f>IF(Financials[[#This Row],[ Units_Sold ]]&lt;&gt;INT(Financials[[#This Row],[ Units_Sold ]]),1,0)</f>
        <v/>
      </c>
      <c r="R696" s="10">
        <f>Financials[[#This Row],[ Profit ]]/Financials[[#This Row],[  Sales ]]</f>
        <v/>
      </c>
      <c r="S696" s="2">
        <f>Financials[[#This Row],[ COGS ]]/Financials[[#This Row],[  Sales ]]</f>
        <v/>
      </c>
      <c r="T696" s="3">
        <f>Financials[[#This Row],[ Discounts ]]/Financials[[#This Row],[  Sales ]]</f>
        <v/>
      </c>
      <c r="U696">
        <f>Financials[[#This Row],[  Sales ]]/Financials[[#This Row],[ Units_Sold ]]</f>
        <v/>
      </c>
      <c r="V696">
        <f>Financials[[#This Row],[ Profit ]]/Financials[[#This Row],[ Units_Sold ]]</f>
        <v/>
      </c>
      <c r="W696">
        <f>IF(Financials[[#This Row],[ Profit ]]&lt;0,1,0)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6"/>
  <sheetViews>
    <sheetView tabSelected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71" t="inlineStr">
        <is>
          <t>CALC — all dashboard numbers are live formulas on the Financials sheet (full-column references, so new rows are picked up).</t>
        </is>
      </c>
    </row>
    <row r="2">
      <c r="A2" s="72" t="inlineStr">
        <is>
          <t>Segment criteria</t>
        </is>
      </c>
      <c r="B2" s="72">
        <f>IF(Dashboard!$H$5="All","*","*"&amp;Dashboard!$H$5&amp;"*")</f>
        <v/>
      </c>
    </row>
    <row r="3">
      <c r="A3" s="72" t="inlineStr">
        <is>
          <t>Country criteria</t>
        </is>
      </c>
      <c r="B3" s="72">
        <f>IF(Dashboard!$N$5="All","*","*"&amp;Dashboard!$N$5&amp;"*")</f>
        <v/>
      </c>
    </row>
    <row r="4">
      <c r="A4" s="72" t="inlineStr">
        <is>
          <t>Product criteria</t>
        </is>
      </c>
      <c r="B4" s="72">
        <f>IF(Dashboard!$T$5="All","*","*"&amp;Dashboard!$T$5&amp;"*")</f>
        <v/>
      </c>
    </row>
    <row r="5">
      <c r="A5" s="72" t="inlineStr">
        <is>
          <t>Year from</t>
        </is>
      </c>
      <c r="B5" s="72">
        <f>IF(Dashboard!$B$5="All",2000,VALUE(Dashboard!$B$5))</f>
        <v/>
      </c>
    </row>
    <row r="6">
      <c r="A6" s="72" t="inlineStr">
        <is>
          <t>Year to</t>
        </is>
      </c>
      <c r="B6" s="72">
        <f>IF(Dashboard!$B$5="All",2100,VALUE(Dashboard!$B$5))</f>
        <v/>
      </c>
    </row>
    <row r="8">
      <c r="A8" s="73" t="inlineStr">
        <is>
          <t>KPI block (all filters applied)</t>
        </is>
      </c>
    </row>
    <row r="9">
      <c r="A9" s="72" t="inlineStr">
        <is>
          <t>Gross sales</t>
        </is>
      </c>
      <c r="B9" s="74">
        <f>SUMIFS(Financials!$H:$H,Financials!$A:$A,Calc!$B$2,Financials!$B:$B,Calc!$B$3,Financials!$C:$C,Calc!$B$4,Financials!$P:$P,"&gt;="&amp;Calc!$B$5,Financials!$P:$P,"&lt;="&amp;Calc!$B$6)</f>
        <v/>
      </c>
    </row>
    <row r="10">
      <c r="A10" s="72" t="inlineStr">
        <is>
          <t>Discounts</t>
        </is>
      </c>
      <c r="B10" s="74">
        <f>SUMIFS(Financials!$I:$I,Financials!$A:$A,Calc!$B$2,Financials!$B:$B,Calc!$B$3,Financials!$C:$C,Calc!$B$4,Financials!$P:$P,"&gt;="&amp;Calc!$B$5,Financials!$P:$P,"&lt;="&amp;Calc!$B$6)</f>
        <v/>
      </c>
    </row>
    <row r="11">
      <c r="A11" s="72" t="inlineStr">
        <is>
          <t>Net sales</t>
        </is>
      </c>
      <c r="B11" s="74">
        <f>SUMIFS(Financials!$J:$J,Financials!$A:$A,Calc!$B$2,Financials!$B:$B,Calc!$B$3,Financials!$C:$C,Calc!$B$4,Financials!$P:$P,"&gt;="&amp;Calc!$B$5,Financials!$P:$P,"&lt;="&amp;Calc!$B$6)</f>
        <v/>
      </c>
    </row>
    <row r="12">
      <c r="A12" s="72" t="inlineStr">
        <is>
          <t>COGS</t>
        </is>
      </c>
      <c r="B12" s="74">
        <f>SUMIFS(Financials!$K:$K,Financials!$A:$A,Calc!$B$2,Financials!$B:$B,Calc!$B$3,Financials!$C:$C,Calc!$B$4,Financials!$P:$P,"&gt;="&amp;Calc!$B$5,Financials!$P:$P,"&lt;="&amp;Calc!$B$6)</f>
        <v/>
      </c>
    </row>
    <row r="13">
      <c r="A13" s="72" t="inlineStr">
        <is>
          <t>Profit</t>
        </is>
      </c>
      <c r="B13" s="74">
        <f>SUMIFS(Financials!$L:$L,Financials!$A:$A,Calc!$B$2,Financials!$B:$B,Calc!$B$3,Financials!$C:$C,Calc!$B$4,Financials!$P:$P,"&gt;="&amp;Calc!$B$5,Financials!$P:$P,"&lt;="&amp;Calc!$B$6)</f>
        <v/>
      </c>
    </row>
    <row r="14">
      <c r="A14" s="72" t="inlineStr">
        <is>
          <t>Units sold</t>
        </is>
      </c>
      <c r="B14" s="74">
        <f>SUMIFS(Financials!$E:$E,Financials!$A:$A,Calc!$B$2,Financials!$B:$B,Calc!$B$3,Financials!$C:$C,Calc!$B$4,Financials!$P:$P,"&gt;="&amp;Calc!$B$5,Financials!$P:$P,"&lt;="&amp;Calc!$B$6)</f>
        <v/>
      </c>
    </row>
    <row r="15">
      <c r="A15" s="72" t="inlineStr">
        <is>
          <t>Orders</t>
        </is>
      </c>
      <c r="B15" s="74">
        <f>COUNTIFS(Financials!$A:$A,Calc!$B$2,Financials!$B:$B,Calc!$B$3,Financials!$C:$C,Calc!$B$4,Financials!$P:$P,"&gt;="&amp;Calc!$B$5,Financials!$P:$P,"&lt;="&amp;Calc!$B$6)</f>
        <v/>
      </c>
    </row>
    <row r="16">
      <c r="A16" s="72" t="inlineStr">
        <is>
          <t>Loss-making orders</t>
        </is>
      </c>
      <c r="B16" s="74">
        <f>COUNTIFS(Financials!$A:$A,Calc!$B$2,Financials!$B:$B,Calc!$B$3,Financials!$C:$C,Calc!$B$4,Financials!$P:$P,"&gt;="&amp;Calc!$B$5,Financials!$P:$P,"&lt;="&amp;Calc!$B$6,Financials!$L:$L,"&lt;0")</f>
        <v/>
      </c>
    </row>
    <row r="17">
      <c r="A17" s="72" t="inlineStr">
        <is>
          <t>Loss $ (sum of negative profit)</t>
        </is>
      </c>
      <c r="B17" s="74">
        <f>SUMIFS(Financials!$L:$L,Financials!$A:$A,Calc!$B$2,Financials!$B:$B,Calc!$B$3,Financials!$C:$C,Calc!$B$4,Financials!$P:$P,"&gt;="&amp;Calc!$B$5,Financials!$P:$P,"&lt;="&amp;Calc!$B$6,Financials!$L:$L,"&lt;0")</f>
        <v/>
      </c>
    </row>
    <row r="18">
      <c r="A18" s="72" t="inlineStr">
        <is>
          <t>Profit margin</t>
        </is>
      </c>
      <c r="B18" s="75">
        <f>IFERROR(B13/B11,0)</f>
        <v/>
      </c>
    </row>
    <row r="19">
      <c r="A19" s="72" t="inlineStr">
        <is>
          <t>Discount rate (% of gross)</t>
        </is>
      </c>
      <c r="B19" s="75">
        <f>IFERROR(B10/B9,0)</f>
        <v/>
      </c>
    </row>
    <row r="20">
      <c r="A20" s="72" t="inlineStr">
        <is>
          <t>Loss orders % of orders</t>
        </is>
      </c>
      <c r="B20" s="75">
        <f>IFERROR(B16/B15,0)</f>
        <v/>
      </c>
    </row>
    <row r="21">
      <c r="A21" s="72" t="inlineStr">
        <is>
          <t>COGS % of net sales</t>
        </is>
      </c>
      <c r="B21" s="75">
        <f>IFERROR(B12/B11,0)</f>
        <v/>
      </c>
    </row>
    <row r="23">
      <c r="A23" s="73" t="inlineStr">
        <is>
          <t>Like-for-like Sep–Dec (filters: segment/country/product; ignores Period)</t>
        </is>
      </c>
      <c r="B23" s="73" t="inlineStr">
        <is>
          <t>2013</t>
        </is>
      </c>
      <c r="C23" s="73" t="inlineStr">
        <is>
          <t>2014</t>
        </is>
      </c>
      <c r="D23" s="73" t="inlineStr">
        <is>
          <t>% chg</t>
        </is>
      </c>
      <c r="E23" s="73" t="inlineStr">
        <is>
          <t>pp chg</t>
        </is>
      </c>
      <c r="F23" s="73" t="inlineStr">
        <is>
          <t>Favourable flag</t>
        </is>
      </c>
      <c r="G23" s="73" t="inlineStr">
        <is>
          <t>Card text</t>
        </is>
      </c>
    </row>
    <row r="24">
      <c r="A24" s="72" t="inlineStr">
        <is>
          <t>Net sales</t>
        </is>
      </c>
      <c r="B24" s="74">
        <f>SUMIFS(Financials!$J:$J,Financials!$A:$A,Calc!$B$2,Financials!$B:$B,Calc!$B$3,Financials!$C:$C,Calc!$B$4,Financials!$P:$P,2013,Financials!$N:$N,"&gt;=9")</f>
        <v/>
      </c>
      <c r="C24" s="74">
        <f>SUMIFS(Financials!$J:$J,Financials!$A:$A,Calc!$B$2,Financials!$B:$B,Calc!$B$3,Financials!$C:$C,Calc!$B$4,Financials!$P:$P,2014,Financials!$N:$N,"&gt;=9")</f>
        <v/>
      </c>
      <c r="D24" s="75">
        <f>IFERROR((C24-B24)/ABS(B24),"")</f>
        <v/>
      </c>
      <c r="F24" s="76">
        <f>IFERROR(1*SIGN(D24),0)</f>
        <v/>
      </c>
      <c r="G24" s="72">
        <f>IF(D24="","n/a",IF(D24&gt;=0,"▲ ","▼ ")&amp;TEXT(D24,"+0.0%;-0.0%")&amp;" LFL")</f>
        <v/>
      </c>
    </row>
    <row r="25">
      <c r="A25" s="72" t="inlineStr">
        <is>
          <t>Profit</t>
        </is>
      </c>
      <c r="B25" s="74">
        <f>SUMIFS(Financials!$L:$L,Financials!$A:$A,Calc!$B$2,Financials!$B:$B,Calc!$B$3,Financials!$C:$C,Calc!$B$4,Financials!$P:$P,2013,Financials!$N:$N,"&gt;=9")</f>
        <v/>
      </c>
      <c r="C25" s="74">
        <f>SUMIFS(Financials!$L:$L,Financials!$A:$A,Calc!$B$2,Financials!$B:$B,Calc!$B$3,Financials!$C:$C,Calc!$B$4,Financials!$P:$P,2014,Financials!$N:$N,"&gt;=9")</f>
        <v/>
      </c>
      <c r="D25" s="75">
        <f>IFERROR((C25-B25)/ABS(B25),"")</f>
        <v/>
      </c>
      <c r="F25" s="76">
        <f>IFERROR(1*SIGN(D25),0)</f>
        <v/>
      </c>
      <c r="G25" s="72">
        <f>IF(D25="","n/a",IF(D25&gt;=0,"▲ ","▼ ")&amp;TEXT(D25,"+0.0%;-0.0%")&amp;" LFL")</f>
        <v/>
      </c>
    </row>
    <row r="26">
      <c r="A26" s="72" t="inlineStr">
        <is>
          <t>Gross sales</t>
        </is>
      </c>
      <c r="B26" s="74">
        <f>SUMIFS(Financials!$H:$H,Financials!$A:$A,Calc!$B$2,Financials!$B:$B,Calc!$B$3,Financials!$C:$C,Calc!$B$4,Financials!$P:$P,2013,Financials!$N:$N,"&gt;=9")</f>
        <v/>
      </c>
      <c r="C26" s="74">
        <f>SUMIFS(Financials!$H:$H,Financials!$A:$A,Calc!$B$2,Financials!$B:$B,Calc!$B$3,Financials!$C:$C,Calc!$B$4,Financials!$P:$P,2014,Financials!$N:$N,"&gt;=9")</f>
        <v/>
      </c>
      <c r="D26" s="75">
        <f>IFERROR((C26-B26)/ABS(B26),"")</f>
        <v/>
      </c>
    </row>
    <row r="27">
      <c r="A27" s="72" t="inlineStr">
        <is>
          <t>Discounts</t>
        </is>
      </c>
      <c r="B27" s="74">
        <f>SUMIFS(Financials!$I:$I,Financials!$A:$A,Calc!$B$2,Financials!$B:$B,Calc!$B$3,Financials!$C:$C,Calc!$B$4,Financials!$P:$P,2013,Financials!$N:$N,"&gt;=9")</f>
        <v/>
      </c>
      <c r="C27" s="74">
        <f>SUMIFS(Financials!$I:$I,Financials!$A:$A,Calc!$B$2,Financials!$B:$B,Calc!$B$3,Financials!$C:$C,Calc!$B$4,Financials!$P:$P,2014,Financials!$N:$N,"&gt;=9")</f>
        <v/>
      </c>
      <c r="D27" s="75">
        <f>IFERROR((C27-B27)/ABS(B27),"")</f>
        <v/>
      </c>
    </row>
    <row r="28">
      <c r="A28" s="72" t="inlineStr">
        <is>
          <t>Units sold</t>
        </is>
      </c>
      <c r="B28" s="74">
        <f>SUMIFS(Financials!$E:$E,Financials!$A:$A,Calc!$B$2,Financials!$B:$B,Calc!$B$3,Financials!$C:$C,Calc!$B$4,Financials!$P:$P,2013,Financials!$N:$N,"&gt;=9")</f>
        <v/>
      </c>
      <c r="C28" s="74">
        <f>SUMIFS(Financials!$E:$E,Financials!$A:$A,Calc!$B$2,Financials!$B:$B,Calc!$B$3,Financials!$C:$C,Calc!$B$4,Financials!$P:$P,2014,Financials!$N:$N,"&gt;=9")</f>
        <v/>
      </c>
      <c r="D28" s="75">
        <f>IFERROR((C28-B28)/ABS(B28),"")</f>
        <v/>
      </c>
      <c r="F28" s="76">
        <f>IFERROR(1*SIGN(D28),0)</f>
        <v/>
      </c>
      <c r="G28" s="72">
        <f>IF(D28="","n/a",IF(D28&gt;=0,"▲ ","▼ ")&amp;TEXT(D28,"+0.0%;-0.0%")&amp;" LFL")</f>
        <v/>
      </c>
    </row>
    <row r="29">
      <c r="A29" s="72" t="inlineStr">
        <is>
          <t>Loss $</t>
        </is>
      </c>
      <c r="B29" s="74">
        <f>SUMIFS(Financials!$L:$L,Financials!$A:$A,Calc!$B$2,Financials!$B:$B,Calc!$B$3,Financials!$C:$C,Calc!$B$4,Financials!$P:$P,2013,Financials!$N:$N,"&gt;=9",Financials!$L:$L,"&lt;0")</f>
        <v/>
      </c>
      <c r="C29" s="74">
        <f>SUMIFS(Financials!$L:$L,Financials!$A:$A,Calc!$B$2,Financials!$B:$B,Calc!$B$3,Financials!$C:$C,Calc!$B$4,Financials!$P:$P,2014,Financials!$N:$N,"&gt;=9",Financials!$L:$L,"&lt;0")</f>
        <v/>
      </c>
      <c r="D29" s="75">
        <f>IFERROR((ABS(C29)-ABS(B29))/ABS(B29),"")</f>
        <v/>
      </c>
      <c r="F29" s="76">
        <f>IFERROR(-1*SIGN(D29),0)</f>
        <v/>
      </c>
      <c r="G29" s="72">
        <f>IF(D29="","n/a",IF(D29&gt;=0,"▲ ","▼ ")&amp;TEXT(D29,"+0.0%;-0.0%")&amp;" LFL")</f>
        <v/>
      </c>
    </row>
    <row r="30">
      <c r="A30" s="72" t="inlineStr">
        <is>
          <t>Profit margin</t>
        </is>
      </c>
      <c r="B30" s="75">
        <f>IFERROR(B25/B24,"")</f>
        <v/>
      </c>
      <c r="C30" s="75">
        <f>IFERROR(C25/C24,"")</f>
        <v/>
      </c>
      <c r="E30" s="77">
        <f>IFERROR((C30-B30)*100,"")</f>
        <v/>
      </c>
      <c r="F30" s="76">
        <f>IFERROR(1*SIGN(E30),0)</f>
        <v/>
      </c>
      <c r="G30" s="72">
        <f>IF(E30="","n/a",IF(E30&gt;=0,"▲ ","▼ ")&amp;TEXT(E30,"+0.0;-0.0")&amp;" pp LFL")</f>
        <v/>
      </c>
    </row>
    <row r="31">
      <c r="A31" s="72" t="inlineStr">
        <is>
          <t>Discount rate</t>
        </is>
      </c>
      <c r="B31" s="75">
        <f>IFERROR(B27/B26,"")</f>
        <v/>
      </c>
      <c r="C31" s="75">
        <f>IFERROR(C27/C26,"")</f>
        <v/>
      </c>
      <c r="E31" s="77">
        <f>IFERROR((C31-B31)*100,"")</f>
        <v/>
      </c>
      <c r="F31" s="76">
        <f>IFERROR(-1*SIGN(E31),0)</f>
        <v/>
      </c>
      <c r="G31" s="72">
        <f>IF(E31="","n/a",IF(E31&gt;=0,"▲ ","▼ ")&amp;TEXT(E31,"+0.0;-0.0")&amp;" pp LFL")</f>
        <v/>
      </c>
    </row>
    <row r="34">
      <c r="A34" s="73" t="inlineStr">
        <is>
          <t>Monthly trend (ignores Period filter)</t>
        </is>
      </c>
    </row>
    <row r="35">
      <c r="A35" s="73" t="inlineStr">
        <is>
          <t>Month</t>
        </is>
      </c>
      <c r="B35" s="73" t="inlineStr">
        <is>
          <t>Year</t>
        </is>
      </c>
      <c r="C35" s="73" t="inlineStr">
        <is>
          <t>Month #</t>
        </is>
      </c>
      <c r="D35" s="73" t="inlineStr">
        <is>
          <t>Net sales</t>
        </is>
      </c>
      <c r="E35" s="73" t="inlineStr">
        <is>
          <t>Profit</t>
        </is>
      </c>
      <c r="F35" s="73" t="inlineStr">
        <is>
          <t>Profit margin</t>
        </is>
      </c>
    </row>
    <row r="36">
      <c r="A36" s="72" t="inlineStr">
        <is>
          <t>Sep-13</t>
        </is>
      </c>
      <c r="B36" s="72" t="n">
        <v>2013</v>
      </c>
      <c r="C36" s="72" t="n">
        <v>9</v>
      </c>
      <c r="D36" s="74">
        <f>SUMIFS(Financials!$J:$J,Financials!$A:$A,Calc!$B$2,Financials!$B:$B,Calc!$B$3,Financials!$C:$C,Calc!$B$4,Financials!$P:$P,B36,Financials!$N:$N,C36)</f>
        <v/>
      </c>
      <c r="E36" s="74">
        <f>SUMIFS(Financials!$L:$L,Financials!$A:$A,Calc!$B$2,Financials!$B:$B,Calc!$B$3,Financials!$C:$C,Calc!$B$4,Financials!$P:$P,B36,Financials!$N:$N,C36)</f>
        <v/>
      </c>
      <c r="F36" s="75">
        <f>IFERROR(E36/D36,NA())</f>
        <v/>
      </c>
    </row>
    <row r="37">
      <c r="A37" s="72" t="inlineStr">
        <is>
          <t>Oct-13</t>
        </is>
      </c>
      <c r="B37" s="72" t="n">
        <v>2013</v>
      </c>
      <c r="C37" s="72" t="n">
        <v>10</v>
      </c>
      <c r="D37" s="74">
        <f>SUMIFS(Financials!$J:$J,Financials!$A:$A,Calc!$B$2,Financials!$B:$B,Calc!$B$3,Financials!$C:$C,Calc!$B$4,Financials!$P:$P,B37,Financials!$N:$N,C37)</f>
        <v/>
      </c>
      <c r="E37" s="74">
        <f>SUMIFS(Financials!$L:$L,Financials!$A:$A,Calc!$B$2,Financials!$B:$B,Calc!$B$3,Financials!$C:$C,Calc!$B$4,Financials!$P:$P,B37,Financials!$N:$N,C37)</f>
        <v/>
      </c>
      <c r="F37" s="75">
        <f>IFERROR(E37/D37,NA())</f>
        <v/>
      </c>
    </row>
    <row r="38">
      <c r="A38" s="72" t="inlineStr">
        <is>
          <t>Nov-13</t>
        </is>
      </c>
      <c r="B38" s="72" t="n">
        <v>2013</v>
      </c>
      <c r="C38" s="72" t="n">
        <v>11</v>
      </c>
      <c r="D38" s="74">
        <f>SUMIFS(Financials!$J:$J,Financials!$A:$A,Calc!$B$2,Financials!$B:$B,Calc!$B$3,Financials!$C:$C,Calc!$B$4,Financials!$P:$P,B38,Financials!$N:$N,C38)</f>
        <v/>
      </c>
      <c r="E38" s="74">
        <f>SUMIFS(Financials!$L:$L,Financials!$A:$A,Calc!$B$2,Financials!$B:$B,Calc!$B$3,Financials!$C:$C,Calc!$B$4,Financials!$P:$P,B38,Financials!$N:$N,C38)</f>
        <v/>
      </c>
      <c r="F38" s="75">
        <f>IFERROR(E38/D38,NA())</f>
        <v/>
      </c>
    </row>
    <row r="39">
      <c r="A39" s="72" t="inlineStr">
        <is>
          <t>Dec-13</t>
        </is>
      </c>
      <c r="B39" s="72" t="n">
        <v>2013</v>
      </c>
      <c r="C39" s="72" t="n">
        <v>12</v>
      </c>
      <c r="D39" s="74">
        <f>SUMIFS(Financials!$J:$J,Financials!$A:$A,Calc!$B$2,Financials!$B:$B,Calc!$B$3,Financials!$C:$C,Calc!$B$4,Financials!$P:$P,B39,Financials!$N:$N,C39)</f>
        <v/>
      </c>
      <c r="E39" s="74">
        <f>SUMIFS(Financials!$L:$L,Financials!$A:$A,Calc!$B$2,Financials!$B:$B,Calc!$B$3,Financials!$C:$C,Calc!$B$4,Financials!$P:$P,B39,Financials!$N:$N,C39)</f>
        <v/>
      </c>
      <c r="F39" s="75">
        <f>IFERROR(E39/D39,NA())</f>
        <v/>
      </c>
    </row>
    <row r="40">
      <c r="A40" s="72" t="inlineStr">
        <is>
          <t>Jan-14</t>
        </is>
      </c>
      <c r="B40" s="72" t="n">
        <v>2014</v>
      </c>
      <c r="C40" s="72" t="n">
        <v>1</v>
      </c>
      <c r="D40" s="74">
        <f>SUMIFS(Financials!$J:$J,Financials!$A:$A,Calc!$B$2,Financials!$B:$B,Calc!$B$3,Financials!$C:$C,Calc!$B$4,Financials!$P:$P,B40,Financials!$N:$N,C40)</f>
        <v/>
      </c>
      <c r="E40" s="74">
        <f>SUMIFS(Financials!$L:$L,Financials!$A:$A,Calc!$B$2,Financials!$B:$B,Calc!$B$3,Financials!$C:$C,Calc!$B$4,Financials!$P:$P,B40,Financials!$N:$N,C40)</f>
        <v/>
      </c>
      <c r="F40" s="75">
        <f>IFERROR(E40/D40,NA())</f>
        <v/>
      </c>
    </row>
    <row r="41">
      <c r="A41" s="72" t="inlineStr">
        <is>
          <t>Feb-14</t>
        </is>
      </c>
      <c r="B41" s="72" t="n">
        <v>2014</v>
      </c>
      <c r="C41" s="72" t="n">
        <v>2</v>
      </c>
      <c r="D41" s="74">
        <f>SUMIFS(Financials!$J:$J,Financials!$A:$A,Calc!$B$2,Financials!$B:$B,Calc!$B$3,Financials!$C:$C,Calc!$B$4,Financials!$P:$P,B41,Financials!$N:$N,C41)</f>
        <v/>
      </c>
      <c r="E41" s="74">
        <f>SUMIFS(Financials!$L:$L,Financials!$A:$A,Calc!$B$2,Financials!$B:$B,Calc!$B$3,Financials!$C:$C,Calc!$B$4,Financials!$P:$P,B41,Financials!$N:$N,C41)</f>
        <v/>
      </c>
      <c r="F41" s="75">
        <f>IFERROR(E41/D41,NA())</f>
        <v/>
      </c>
    </row>
    <row r="42">
      <c r="A42" s="72" t="inlineStr">
        <is>
          <t>Mar-14</t>
        </is>
      </c>
      <c r="B42" s="72" t="n">
        <v>2014</v>
      </c>
      <c r="C42" s="72" t="n">
        <v>3</v>
      </c>
      <c r="D42" s="74">
        <f>SUMIFS(Financials!$J:$J,Financials!$A:$A,Calc!$B$2,Financials!$B:$B,Calc!$B$3,Financials!$C:$C,Calc!$B$4,Financials!$P:$P,B42,Financials!$N:$N,C42)</f>
        <v/>
      </c>
      <c r="E42" s="74">
        <f>SUMIFS(Financials!$L:$L,Financials!$A:$A,Calc!$B$2,Financials!$B:$B,Calc!$B$3,Financials!$C:$C,Calc!$B$4,Financials!$P:$P,B42,Financials!$N:$N,C42)</f>
        <v/>
      </c>
      <c r="F42" s="75">
        <f>IFERROR(E42/D42,NA())</f>
        <v/>
      </c>
    </row>
    <row r="43">
      <c r="A43" s="72" t="inlineStr">
        <is>
          <t>Apr-14</t>
        </is>
      </c>
      <c r="B43" s="72" t="n">
        <v>2014</v>
      </c>
      <c r="C43" s="72" t="n">
        <v>4</v>
      </c>
      <c r="D43" s="74">
        <f>SUMIFS(Financials!$J:$J,Financials!$A:$A,Calc!$B$2,Financials!$B:$B,Calc!$B$3,Financials!$C:$C,Calc!$B$4,Financials!$P:$P,B43,Financials!$N:$N,C43)</f>
        <v/>
      </c>
      <c r="E43" s="74">
        <f>SUMIFS(Financials!$L:$L,Financials!$A:$A,Calc!$B$2,Financials!$B:$B,Calc!$B$3,Financials!$C:$C,Calc!$B$4,Financials!$P:$P,B43,Financials!$N:$N,C43)</f>
        <v/>
      </c>
      <c r="F43" s="75">
        <f>IFERROR(E43/D43,NA())</f>
        <v/>
      </c>
    </row>
    <row r="44">
      <c r="A44" s="72" t="inlineStr">
        <is>
          <t>May-14</t>
        </is>
      </c>
      <c r="B44" s="72" t="n">
        <v>2014</v>
      </c>
      <c r="C44" s="72" t="n">
        <v>5</v>
      </c>
      <c r="D44" s="74">
        <f>SUMIFS(Financials!$J:$J,Financials!$A:$A,Calc!$B$2,Financials!$B:$B,Calc!$B$3,Financials!$C:$C,Calc!$B$4,Financials!$P:$P,B44,Financials!$N:$N,C44)</f>
        <v/>
      </c>
      <c r="E44" s="74">
        <f>SUMIFS(Financials!$L:$L,Financials!$A:$A,Calc!$B$2,Financials!$B:$B,Calc!$B$3,Financials!$C:$C,Calc!$B$4,Financials!$P:$P,B44,Financials!$N:$N,C44)</f>
        <v/>
      </c>
      <c r="F44" s="75">
        <f>IFERROR(E44/D44,NA())</f>
        <v/>
      </c>
    </row>
    <row r="45">
      <c r="A45" s="72" t="inlineStr">
        <is>
          <t>Jun-14</t>
        </is>
      </c>
      <c r="B45" s="72" t="n">
        <v>2014</v>
      </c>
      <c r="C45" s="72" t="n">
        <v>6</v>
      </c>
      <c r="D45" s="74">
        <f>SUMIFS(Financials!$J:$J,Financials!$A:$A,Calc!$B$2,Financials!$B:$B,Calc!$B$3,Financials!$C:$C,Calc!$B$4,Financials!$P:$P,B45,Financials!$N:$N,C45)</f>
        <v/>
      </c>
      <c r="E45" s="74">
        <f>SUMIFS(Financials!$L:$L,Financials!$A:$A,Calc!$B$2,Financials!$B:$B,Calc!$B$3,Financials!$C:$C,Calc!$B$4,Financials!$P:$P,B45,Financials!$N:$N,C45)</f>
        <v/>
      </c>
      <c r="F45" s="75">
        <f>IFERROR(E45/D45,NA())</f>
        <v/>
      </c>
    </row>
    <row r="46">
      <c r="A46" s="72" t="inlineStr">
        <is>
          <t>Jul-14</t>
        </is>
      </c>
      <c r="B46" s="72" t="n">
        <v>2014</v>
      </c>
      <c r="C46" s="72" t="n">
        <v>7</v>
      </c>
      <c r="D46" s="74">
        <f>SUMIFS(Financials!$J:$J,Financials!$A:$A,Calc!$B$2,Financials!$B:$B,Calc!$B$3,Financials!$C:$C,Calc!$B$4,Financials!$P:$P,B46,Financials!$N:$N,C46)</f>
        <v/>
      </c>
      <c r="E46" s="74">
        <f>SUMIFS(Financials!$L:$L,Financials!$A:$A,Calc!$B$2,Financials!$B:$B,Calc!$B$3,Financials!$C:$C,Calc!$B$4,Financials!$P:$P,B46,Financials!$N:$N,C46)</f>
        <v/>
      </c>
      <c r="F46" s="75">
        <f>IFERROR(E46/D46,NA())</f>
        <v/>
      </c>
    </row>
    <row r="47">
      <c r="A47" s="72" t="inlineStr">
        <is>
          <t>Aug-14</t>
        </is>
      </c>
      <c r="B47" s="72" t="n">
        <v>2014</v>
      </c>
      <c r="C47" s="72" t="n">
        <v>8</v>
      </c>
      <c r="D47" s="74">
        <f>SUMIFS(Financials!$J:$J,Financials!$A:$A,Calc!$B$2,Financials!$B:$B,Calc!$B$3,Financials!$C:$C,Calc!$B$4,Financials!$P:$P,B47,Financials!$N:$N,C47)</f>
        <v/>
      </c>
      <c r="E47" s="74">
        <f>SUMIFS(Financials!$L:$L,Financials!$A:$A,Calc!$B$2,Financials!$B:$B,Calc!$B$3,Financials!$C:$C,Calc!$B$4,Financials!$P:$P,B47,Financials!$N:$N,C47)</f>
        <v/>
      </c>
      <c r="F47" s="75">
        <f>IFERROR(E47/D47,NA())</f>
        <v/>
      </c>
    </row>
    <row r="48">
      <c r="A48" s="72" t="inlineStr">
        <is>
          <t>Sep-14</t>
        </is>
      </c>
      <c r="B48" s="72" t="n">
        <v>2014</v>
      </c>
      <c r="C48" s="72" t="n">
        <v>9</v>
      </c>
      <c r="D48" s="74">
        <f>SUMIFS(Financials!$J:$J,Financials!$A:$A,Calc!$B$2,Financials!$B:$B,Calc!$B$3,Financials!$C:$C,Calc!$B$4,Financials!$P:$P,B48,Financials!$N:$N,C48)</f>
        <v/>
      </c>
      <c r="E48" s="74">
        <f>SUMIFS(Financials!$L:$L,Financials!$A:$A,Calc!$B$2,Financials!$B:$B,Calc!$B$3,Financials!$C:$C,Calc!$B$4,Financials!$P:$P,B48,Financials!$N:$N,C48)</f>
        <v/>
      </c>
      <c r="F48" s="75">
        <f>IFERROR(E48/D48,NA())</f>
        <v/>
      </c>
    </row>
    <row r="49">
      <c r="A49" s="72" t="inlineStr">
        <is>
          <t>Oct-14</t>
        </is>
      </c>
      <c r="B49" s="72" t="n">
        <v>2014</v>
      </c>
      <c r="C49" s="72" t="n">
        <v>10</v>
      </c>
      <c r="D49" s="74">
        <f>SUMIFS(Financials!$J:$J,Financials!$A:$A,Calc!$B$2,Financials!$B:$B,Calc!$B$3,Financials!$C:$C,Calc!$B$4,Financials!$P:$P,B49,Financials!$N:$N,C49)</f>
        <v/>
      </c>
      <c r="E49" s="74">
        <f>SUMIFS(Financials!$L:$L,Financials!$A:$A,Calc!$B$2,Financials!$B:$B,Calc!$B$3,Financials!$C:$C,Calc!$B$4,Financials!$P:$P,B49,Financials!$N:$N,C49)</f>
        <v/>
      </c>
      <c r="F49" s="75">
        <f>IFERROR(E49/D49,NA())</f>
        <v/>
      </c>
    </row>
    <row r="50">
      <c r="A50" s="72" t="inlineStr">
        <is>
          <t>Nov-14</t>
        </is>
      </c>
      <c r="B50" s="72" t="n">
        <v>2014</v>
      </c>
      <c r="C50" s="72" t="n">
        <v>11</v>
      </c>
      <c r="D50" s="74">
        <f>SUMIFS(Financials!$J:$J,Financials!$A:$A,Calc!$B$2,Financials!$B:$B,Calc!$B$3,Financials!$C:$C,Calc!$B$4,Financials!$P:$P,B50,Financials!$N:$N,C50)</f>
        <v/>
      </c>
      <c r="E50" s="74">
        <f>SUMIFS(Financials!$L:$L,Financials!$A:$A,Calc!$B$2,Financials!$B:$B,Calc!$B$3,Financials!$C:$C,Calc!$B$4,Financials!$P:$P,B50,Financials!$N:$N,C50)</f>
        <v/>
      </c>
      <c r="F50" s="75">
        <f>IFERROR(E50/D50,NA())</f>
        <v/>
      </c>
    </row>
    <row r="51">
      <c r="A51" s="72" t="inlineStr">
        <is>
          <t>Dec-14</t>
        </is>
      </c>
      <c r="B51" s="72" t="n">
        <v>2014</v>
      </c>
      <c r="C51" s="72" t="n">
        <v>12</v>
      </c>
      <c r="D51" s="74">
        <f>SUMIFS(Financials!$J:$J,Financials!$A:$A,Calc!$B$2,Financials!$B:$B,Calc!$B$3,Financials!$C:$C,Calc!$B$4,Financials!$P:$P,B51,Financials!$N:$N,C51)</f>
        <v/>
      </c>
      <c r="E51" s="74">
        <f>SUMIFS(Financials!$L:$L,Financials!$A:$A,Calc!$B$2,Financials!$B:$B,Calc!$B$3,Financials!$C:$C,Calc!$B$4,Financials!$P:$P,B51,Financials!$N:$N,C51)</f>
        <v/>
      </c>
      <c r="F51" s="75">
        <f>IFERROR(E51/D51,NA())</f>
        <v/>
      </c>
    </row>
    <row r="54">
      <c r="A54" s="73" t="inlineStr">
        <is>
          <t>Segment (ignores Segment filter)</t>
        </is>
      </c>
    </row>
    <row r="55">
      <c r="A55" s="73" t="inlineStr">
        <is>
          <t>Segment</t>
        </is>
      </c>
      <c r="B55" s="73" t="inlineStr">
        <is>
          <t>Net sales</t>
        </is>
      </c>
      <c r="C55" s="73" t="inlineStr">
        <is>
          <t>Profit</t>
        </is>
      </c>
      <c r="D55" s="73" t="inlineStr">
        <is>
          <t>Margin</t>
        </is>
      </c>
      <c r="E55" s="73" t="inlineStr">
        <is>
          <t>Profit +</t>
        </is>
      </c>
      <c r="F55" s="73" t="inlineStr">
        <is>
          <t>Profit −</t>
        </is>
      </c>
      <c r="G55" s="73" t="inlineStr">
        <is>
          <t>Profit share</t>
        </is>
      </c>
    </row>
    <row r="56">
      <c r="A56" s="72" t="inlineStr">
        <is>
          <t>Government</t>
        </is>
      </c>
      <c r="B56" s="74">
        <f>SUMIFS(Financials!$J:$J,Financials!$B:$B,Calc!$B$3,Financials!$C:$C,Calc!$B$4,Financials!$P:$P,"&gt;="&amp;Calc!$B$5,Financials!$P:$P,"&lt;="&amp;Calc!$B$6,Financials!$A:$A,"*"&amp;$A56&amp;"*")</f>
        <v/>
      </c>
      <c r="C56" s="74">
        <f>SUMIFS(Financials!$L:$L,Financials!$B:$B,Calc!$B$3,Financials!$C:$C,Calc!$B$4,Financials!$P:$P,"&gt;="&amp;Calc!$B$5,Financials!$P:$P,"&lt;="&amp;Calc!$B$6,Financials!$A:$A,"*"&amp;$A56&amp;"*")</f>
        <v/>
      </c>
      <c r="D56" s="75">
        <f>IFERROR(C56/B56,"")</f>
        <v/>
      </c>
      <c r="E56" s="78">
        <f>MAX(C56,0)/1000000</f>
        <v/>
      </c>
      <c r="F56" s="78">
        <f>MIN(C56,0)/1000000</f>
        <v/>
      </c>
      <c r="G56" s="75">
        <f>IFERROR(C56/SUM($C$56:$C$60),"")</f>
        <v/>
      </c>
    </row>
    <row r="57">
      <c r="A57" s="72" t="inlineStr">
        <is>
          <t>Small Business</t>
        </is>
      </c>
      <c r="B57" s="74">
        <f>SUMIFS(Financials!$J:$J,Financials!$B:$B,Calc!$B$3,Financials!$C:$C,Calc!$B$4,Financials!$P:$P,"&gt;="&amp;Calc!$B$5,Financials!$P:$P,"&lt;="&amp;Calc!$B$6,Financials!$A:$A,"*"&amp;$A57&amp;"*")</f>
        <v/>
      </c>
      <c r="C57" s="74">
        <f>SUMIFS(Financials!$L:$L,Financials!$B:$B,Calc!$B$3,Financials!$C:$C,Calc!$B$4,Financials!$P:$P,"&gt;="&amp;Calc!$B$5,Financials!$P:$P,"&lt;="&amp;Calc!$B$6,Financials!$A:$A,"*"&amp;$A57&amp;"*")</f>
        <v/>
      </c>
      <c r="D57" s="75">
        <f>IFERROR(C57/B57,"")</f>
        <v/>
      </c>
      <c r="E57" s="78">
        <f>MAX(C57,0)/1000000</f>
        <v/>
      </c>
      <c r="F57" s="78">
        <f>MIN(C57,0)/1000000</f>
        <v/>
      </c>
      <c r="G57" s="75">
        <f>IFERROR(C57/SUM($C$56:$C$60),"")</f>
        <v/>
      </c>
    </row>
    <row r="58">
      <c r="A58" s="72" t="inlineStr">
        <is>
          <t>Enterprise</t>
        </is>
      </c>
      <c r="B58" s="74">
        <f>SUMIFS(Financials!$J:$J,Financials!$B:$B,Calc!$B$3,Financials!$C:$C,Calc!$B$4,Financials!$P:$P,"&gt;="&amp;Calc!$B$5,Financials!$P:$P,"&lt;="&amp;Calc!$B$6,Financials!$A:$A,"*"&amp;$A58&amp;"*")</f>
        <v/>
      </c>
      <c r="C58" s="74">
        <f>SUMIFS(Financials!$L:$L,Financials!$B:$B,Calc!$B$3,Financials!$C:$C,Calc!$B$4,Financials!$P:$P,"&gt;="&amp;Calc!$B$5,Financials!$P:$P,"&lt;="&amp;Calc!$B$6,Financials!$A:$A,"*"&amp;$A58&amp;"*")</f>
        <v/>
      </c>
      <c r="D58" s="75">
        <f>IFERROR(C58/B58,"")</f>
        <v/>
      </c>
      <c r="E58" s="78">
        <f>MAX(C58,0)/1000000</f>
        <v/>
      </c>
      <c r="F58" s="78">
        <f>MIN(C58,0)/1000000</f>
        <v/>
      </c>
      <c r="G58" s="75">
        <f>IFERROR(C58/SUM($C$56:$C$60),"")</f>
        <v/>
      </c>
    </row>
    <row r="59">
      <c r="A59" s="72" t="inlineStr">
        <is>
          <t>Midmarket</t>
        </is>
      </c>
      <c r="B59" s="74">
        <f>SUMIFS(Financials!$J:$J,Financials!$B:$B,Calc!$B$3,Financials!$C:$C,Calc!$B$4,Financials!$P:$P,"&gt;="&amp;Calc!$B$5,Financials!$P:$P,"&lt;="&amp;Calc!$B$6,Financials!$A:$A,"*"&amp;$A59&amp;"*")</f>
        <v/>
      </c>
      <c r="C59" s="74">
        <f>SUMIFS(Financials!$L:$L,Financials!$B:$B,Calc!$B$3,Financials!$C:$C,Calc!$B$4,Financials!$P:$P,"&gt;="&amp;Calc!$B$5,Financials!$P:$P,"&lt;="&amp;Calc!$B$6,Financials!$A:$A,"*"&amp;$A59&amp;"*")</f>
        <v/>
      </c>
      <c r="D59" s="75">
        <f>IFERROR(C59/B59,"")</f>
        <v/>
      </c>
      <c r="E59" s="78">
        <f>MAX(C59,0)/1000000</f>
        <v/>
      </c>
      <c r="F59" s="78">
        <f>MIN(C59,0)/1000000</f>
        <v/>
      </c>
      <c r="G59" s="75">
        <f>IFERROR(C59/SUM($C$56:$C$60),"")</f>
        <v/>
      </c>
    </row>
    <row r="60">
      <c r="A60" s="72" t="inlineStr">
        <is>
          <t>Channel Partners</t>
        </is>
      </c>
      <c r="B60" s="74">
        <f>SUMIFS(Financials!$J:$J,Financials!$B:$B,Calc!$B$3,Financials!$C:$C,Calc!$B$4,Financials!$P:$P,"&gt;="&amp;Calc!$B$5,Financials!$P:$P,"&lt;="&amp;Calc!$B$6,Financials!$A:$A,"*"&amp;$A60&amp;"*")</f>
        <v/>
      </c>
      <c r="C60" s="74">
        <f>SUMIFS(Financials!$L:$L,Financials!$B:$B,Calc!$B$3,Financials!$C:$C,Calc!$B$4,Financials!$P:$P,"&gt;="&amp;Calc!$B$5,Financials!$P:$P,"&lt;="&amp;Calc!$B$6,Financials!$A:$A,"*"&amp;$A60&amp;"*")</f>
        <v/>
      </c>
      <c r="D60" s="75">
        <f>IFERROR(C60/B60,"")</f>
        <v/>
      </c>
      <c r="E60" s="78">
        <f>MAX(C60,0)/1000000</f>
        <v/>
      </c>
      <c r="F60" s="78">
        <f>MIN(C60,0)/1000000</f>
        <v/>
      </c>
      <c r="G60" s="75">
        <f>IFERROR(C60/SUM($C$56:$C$60),"")</f>
        <v/>
      </c>
    </row>
    <row r="64">
      <c r="A64" s="73" t="inlineStr">
        <is>
          <t>Product (ignores Product filter)</t>
        </is>
      </c>
    </row>
    <row r="65">
      <c r="A65" s="73" t="inlineStr">
        <is>
          <t>Product</t>
        </is>
      </c>
      <c r="B65" s="73" t="inlineStr">
        <is>
          <t>Net sales</t>
        </is>
      </c>
      <c r="C65" s="73" t="inlineStr">
        <is>
          <t>Profit</t>
        </is>
      </c>
      <c r="D65" s="73" t="inlineStr">
        <is>
          <t>Margin</t>
        </is>
      </c>
      <c r="E65" s="73" t="inlineStr">
        <is>
          <t>Profit +</t>
        </is>
      </c>
      <c r="F65" s="73" t="inlineStr">
        <is>
          <t>Profit −</t>
        </is>
      </c>
      <c r="G65" s="73" t="inlineStr">
        <is>
          <t>Profit share</t>
        </is>
      </c>
    </row>
    <row r="66">
      <c r="A66" s="72" t="inlineStr">
        <is>
          <t>Paseo</t>
        </is>
      </c>
      <c r="B66" s="74">
        <f>SUMIFS(Financials!$J:$J,Financials!$A:$A,Calc!$B$2,Financials!$B:$B,Calc!$B$3,Financials!$P:$P,"&gt;="&amp;Calc!$B$5,Financials!$P:$P,"&lt;="&amp;Calc!$B$6,Financials!$C:$C,"*"&amp;$A66&amp;"*")</f>
        <v/>
      </c>
      <c r="C66" s="74">
        <f>SUMIFS(Financials!$L:$L,Financials!$A:$A,Calc!$B$2,Financials!$B:$B,Calc!$B$3,Financials!$P:$P,"&gt;="&amp;Calc!$B$5,Financials!$P:$P,"&lt;="&amp;Calc!$B$6,Financials!$C:$C,"*"&amp;$A66&amp;"*")</f>
        <v/>
      </c>
      <c r="D66" s="75">
        <f>IFERROR(C66/B66,"")</f>
        <v/>
      </c>
      <c r="E66" s="78">
        <f>MAX(C66,0)/1000000</f>
        <v/>
      </c>
      <c r="F66" s="78">
        <f>MIN(C66,0)/1000000</f>
        <v/>
      </c>
      <c r="G66" s="75">
        <f>IFERROR(C66/SUM($C$66:$C$71),"")</f>
        <v/>
      </c>
    </row>
    <row r="67">
      <c r="A67" s="72" t="inlineStr">
        <is>
          <t>VTT</t>
        </is>
      </c>
      <c r="B67" s="74">
        <f>SUMIFS(Financials!$J:$J,Financials!$A:$A,Calc!$B$2,Financials!$B:$B,Calc!$B$3,Financials!$P:$P,"&gt;="&amp;Calc!$B$5,Financials!$P:$P,"&lt;="&amp;Calc!$B$6,Financials!$C:$C,"*"&amp;$A67&amp;"*")</f>
        <v/>
      </c>
      <c r="C67" s="74">
        <f>SUMIFS(Financials!$L:$L,Financials!$A:$A,Calc!$B$2,Financials!$B:$B,Calc!$B$3,Financials!$P:$P,"&gt;="&amp;Calc!$B$5,Financials!$P:$P,"&lt;="&amp;Calc!$B$6,Financials!$C:$C,"*"&amp;$A67&amp;"*")</f>
        <v/>
      </c>
      <c r="D67" s="75">
        <f>IFERROR(C67/B67,"")</f>
        <v/>
      </c>
      <c r="E67" s="78">
        <f>MAX(C67,0)/1000000</f>
        <v/>
      </c>
      <c r="F67" s="78">
        <f>MIN(C67,0)/1000000</f>
        <v/>
      </c>
      <c r="G67" s="75">
        <f>IFERROR(C67/SUM($C$66:$C$71),"")</f>
        <v/>
      </c>
    </row>
    <row r="68">
      <c r="A68" s="72" t="inlineStr">
        <is>
          <t>Amarilla</t>
        </is>
      </c>
      <c r="B68" s="74">
        <f>SUMIFS(Financials!$J:$J,Financials!$A:$A,Calc!$B$2,Financials!$B:$B,Calc!$B$3,Financials!$P:$P,"&gt;="&amp;Calc!$B$5,Financials!$P:$P,"&lt;="&amp;Calc!$B$6,Financials!$C:$C,"*"&amp;$A68&amp;"*")</f>
        <v/>
      </c>
      <c r="C68" s="74">
        <f>SUMIFS(Financials!$L:$L,Financials!$A:$A,Calc!$B$2,Financials!$B:$B,Calc!$B$3,Financials!$P:$P,"&gt;="&amp;Calc!$B$5,Financials!$P:$P,"&lt;="&amp;Calc!$B$6,Financials!$C:$C,"*"&amp;$A68&amp;"*")</f>
        <v/>
      </c>
      <c r="D68" s="75">
        <f>IFERROR(C68/B68,"")</f>
        <v/>
      </c>
      <c r="E68" s="78">
        <f>MAX(C68,0)/1000000</f>
        <v/>
      </c>
      <c r="F68" s="78">
        <f>MIN(C68,0)/1000000</f>
        <v/>
      </c>
      <c r="G68" s="75">
        <f>IFERROR(C68/SUM($C$66:$C$71),"")</f>
        <v/>
      </c>
    </row>
    <row r="69">
      <c r="A69" s="72" t="inlineStr">
        <is>
          <t>Velo</t>
        </is>
      </c>
      <c r="B69" s="74">
        <f>SUMIFS(Financials!$J:$J,Financials!$A:$A,Calc!$B$2,Financials!$B:$B,Calc!$B$3,Financials!$P:$P,"&gt;="&amp;Calc!$B$5,Financials!$P:$P,"&lt;="&amp;Calc!$B$6,Financials!$C:$C,"*"&amp;$A69&amp;"*")</f>
        <v/>
      </c>
      <c r="C69" s="74">
        <f>SUMIFS(Financials!$L:$L,Financials!$A:$A,Calc!$B$2,Financials!$B:$B,Calc!$B$3,Financials!$P:$P,"&gt;="&amp;Calc!$B$5,Financials!$P:$P,"&lt;="&amp;Calc!$B$6,Financials!$C:$C,"*"&amp;$A69&amp;"*")</f>
        <v/>
      </c>
      <c r="D69" s="75">
        <f>IFERROR(C69/B69,"")</f>
        <v/>
      </c>
      <c r="E69" s="78">
        <f>MAX(C69,0)/1000000</f>
        <v/>
      </c>
      <c r="F69" s="78">
        <f>MIN(C69,0)/1000000</f>
        <v/>
      </c>
      <c r="G69" s="75">
        <f>IFERROR(C69/SUM($C$66:$C$71),"")</f>
        <v/>
      </c>
    </row>
    <row r="70">
      <c r="A70" s="72" t="inlineStr">
        <is>
          <t>Montana</t>
        </is>
      </c>
      <c r="B70" s="74">
        <f>SUMIFS(Financials!$J:$J,Financials!$A:$A,Calc!$B$2,Financials!$B:$B,Calc!$B$3,Financials!$P:$P,"&gt;="&amp;Calc!$B$5,Financials!$P:$P,"&lt;="&amp;Calc!$B$6,Financials!$C:$C,"*"&amp;$A70&amp;"*")</f>
        <v/>
      </c>
      <c r="C70" s="74">
        <f>SUMIFS(Financials!$L:$L,Financials!$A:$A,Calc!$B$2,Financials!$B:$B,Calc!$B$3,Financials!$P:$P,"&gt;="&amp;Calc!$B$5,Financials!$P:$P,"&lt;="&amp;Calc!$B$6,Financials!$C:$C,"*"&amp;$A70&amp;"*")</f>
        <v/>
      </c>
      <c r="D70" s="75">
        <f>IFERROR(C70/B70,"")</f>
        <v/>
      </c>
      <c r="E70" s="78">
        <f>MAX(C70,0)/1000000</f>
        <v/>
      </c>
      <c r="F70" s="78">
        <f>MIN(C70,0)/1000000</f>
        <v/>
      </c>
      <c r="G70" s="75">
        <f>IFERROR(C70/SUM($C$66:$C$71),"")</f>
        <v/>
      </c>
    </row>
    <row r="71">
      <c r="A71" s="72" t="inlineStr">
        <is>
          <t>Carretera</t>
        </is>
      </c>
      <c r="B71" s="74">
        <f>SUMIFS(Financials!$J:$J,Financials!$A:$A,Calc!$B$2,Financials!$B:$B,Calc!$B$3,Financials!$P:$P,"&gt;="&amp;Calc!$B$5,Financials!$P:$P,"&lt;="&amp;Calc!$B$6,Financials!$C:$C,"*"&amp;$A71&amp;"*")</f>
        <v/>
      </c>
      <c r="C71" s="74">
        <f>SUMIFS(Financials!$L:$L,Financials!$A:$A,Calc!$B$2,Financials!$B:$B,Calc!$B$3,Financials!$P:$P,"&gt;="&amp;Calc!$B$5,Financials!$P:$P,"&lt;="&amp;Calc!$B$6,Financials!$C:$C,"*"&amp;$A71&amp;"*")</f>
        <v/>
      </c>
      <c r="D71" s="75">
        <f>IFERROR(C71/B71,"")</f>
        <v/>
      </c>
      <c r="E71" s="78">
        <f>MAX(C71,0)/1000000</f>
        <v/>
      </c>
      <c r="F71" s="78">
        <f>MIN(C71,0)/1000000</f>
        <v/>
      </c>
      <c r="G71" s="75">
        <f>IFERROR(C71/SUM($C$66:$C$71),"")</f>
        <v/>
      </c>
    </row>
    <row r="74">
      <c r="A74" s="73" t="inlineStr">
        <is>
          <t>Country (ignores Country filter)</t>
        </is>
      </c>
    </row>
    <row r="75">
      <c r="A75" s="73" t="inlineStr">
        <is>
          <t>Country</t>
        </is>
      </c>
      <c r="B75" s="73" t="inlineStr">
        <is>
          <t>Net sales</t>
        </is>
      </c>
      <c r="C75" s="73" t="inlineStr">
        <is>
          <t>Profit</t>
        </is>
      </c>
      <c r="D75" s="73" t="inlineStr">
        <is>
          <t>Margin</t>
        </is>
      </c>
      <c r="E75" s="73" t="inlineStr">
        <is>
          <t>Profit +</t>
        </is>
      </c>
      <c r="F75" s="73" t="inlineStr">
        <is>
          <t>Profit −</t>
        </is>
      </c>
      <c r="G75" s="73" t="inlineStr">
        <is>
          <t>Profit share</t>
        </is>
      </c>
    </row>
    <row r="76">
      <c r="A76" s="72" t="inlineStr">
        <is>
          <t>Canada</t>
        </is>
      </c>
      <c r="B76" s="74">
        <f>SUMIFS(Financials!$J:$J,Financials!$A:$A,Calc!$B$2,Financials!$C:$C,Calc!$B$4,Financials!$P:$P,"&gt;="&amp;Calc!$B$5,Financials!$P:$P,"&lt;="&amp;Calc!$B$6,Financials!$B:$B,"*"&amp;$A76&amp;"*")</f>
        <v/>
      </c>
      <c r="C76" s="74">
        <f>SUMIFS(Financials!$L:$L,Financials!$A:$A,Calc!$B$2,Financials!$C:$C,Calc!$B$4,Financials!$P:$P,"&gt;="&amp;Calc!$B$5,Financials!$P:$P,"&lt;="&amp;Calc!$B$6,Financials!$B:$B,"*"&amp;$A76&amp;"*")</f>
        <v/>
      </c>
      <c r="D76" s="75">
        <f>IFERROR(C76/B76,"")</f>
        <v/>
      </c>
      <c r="E76" s="78">
        <f>MAX(C76,0)/1000000</f>
        <v/>
      </c>
      <c r="F76" s="78">
        <f>MIN(C76,0)/1000000</f>
        <v/>
      </c>
      <c r="G76" s="75">
        <f>IFERROR(C76/SUM($C$76:$C$80),"")</f>
        <v/>
      </c>
    </row>
    <row r="77">
      <c r="A77" s="72" t="inlineStr">
        <is>
          <t>France</t>
        </is>
      </c>
      <c r="B77" s="74">
        <f>SUMIFS(Financials!$J:$J,Financials!$A:$A,Calc!$B$2,Financials!$C:$C,Calc!$B$4,Financials!$P:$P,"&gt;="&amp;Calc!$B$5,Financials!$P:$P,"&lt;="&amp;Calc!$B$6,Financials!$B:$B,"*"&amp;$A77&amp;"*")</f>
        <v/>
      </c>
      <c r="C77" s="74">
        <f>SUMIFS(Financials!$L:$L,Financials!$A:$A,Calc!$B$2,Financials!$C:$C,Calc!$B$4,Financials!$P:$P,"&gt;="&amp;Calc!$B$5,Financials!$P:$P,"&lt;="&amp;Calc!$B$6,Financials!$B:$B,"*"&amp;$A77&amp;"*")</f>
        <v/>
      </c>
      <c r="D77" s="75">
        <f>IFERROR(C77/B77,"")</f>
        <v/>
      </c>
      <c r="E77" s="78">
        <f>MAX(C77,0)/1000000</f>
        <v/>
      </c>
      <c r="F77" s="78">
        <f>MIN(C77,0)/1000000</f>
        <v/>
      </c>
      <c r="G77" s="75">
        <f>IFERROR(C77/SUM($C$76:$C$80),"")</f>
        <v/>
      </c>
    </row>
    <row r="78">
      <c r="A78" s="72" t="inlineStr">
        <is>
          <t>Germany</t>
        </is>
      </c>
      <c r="B78" s="74">
        <f>SUMIFS(Financials!$J:$J,Financials!$A:$A,Calc!$B$2,Financials!$C:$C,Calc!$B$4,Financials!$P:$P,"&gt;="&amp;Calc!$B$5,Financials!$P:$P,"&lt;="&amp;Calc!$B$6,Financials!$B:$B,"*"&amp;$A78&amp;"*")</f>
        <v/>
      </c>
      <c r="C78" s="74">
        <f>SUMIFS(Financials!$L:$L,Financials!$A:$A,Calc!$B$2,Financials!$C:$C,Calc!$B$4,Financials!$P:$P,"&gt;="&amp;Calc!$B$5,Financials!$P:$P,"&lt;="&amp;Calc!$B$6,Financials!$B:$B,"*"&amp;$A78&amp;"*")</f>
        <v/>
      </c>
      <c r="D78" s="75">
        <f>IFERROR(C78/B78,"")</f>
        <v/>
      </c>
      <c r="E78" s="78">
        <f>MAX(C78,0)/1000000</f>
        <v/>
      </c>
      <c r="F78" s="78">
        <f>MIN(C78,0)/1000000</f>
        <v/>
      </c>
      <c r="G78" s="75">
        <f>IFERROR(C78/SUM($C$76:$C$80),"")</f>
        <v/>
      </c>
    </row>
    <row r="79">
      <c r="A79" s="72" t="inlineStr">
        <is>
          <t>Mexico</t>
        </is>
      </c>
      <c r="B79" s="74">
        <f>SUMIFS(Financials!$J:$J,Financials!$A:$A,Calc!$B$2,Financials!$C:$C,Calc!$B$4,Financials!$P:$P,"&gt;="&amp;Calc!$B$5,Financials!$P:$P,"&lt;="&amp;Calc!$B$6,Financials!$B:$B,"*"&amp;$A79&amp;"*")</f>
        <v/>
      </c>
      <c r="C79" s="74">
        <f>SUMIFS(Financials!$L:$L,Financials!$A:$A,Calc!$B$2,Financials!$C:$C,Calc!$B$4,Financials!$P:$P,"&gt;="&amp;Calc!$B$5,Financials!$P:$P,"&lt;="&amp;Calc!$B$6,Financials!$B:$B,"*"&amp;$A79&amp;"*")</f>
        <v/>
      </c>
      <c r="D79" s="75">
        <f>IFERROR(C79/B79,"")</f>
        <v/>
      </c>
      <c r="E79" s="78">
        <f>MAX(C79,0)/1000000</f>
        <v/>
      </c>
      <c r="F79" s="78">
        <f>MIN(C79,0)/1000000</f>
        <v/>
      </c>
      <c r="G79" s="75">
        <f>IFERROR(C79/SUM($C$76:$C$80),"")</f>
        <v/>
      </c>
    </row>
    <row r="80">
      <c r="A80" s="72" t="inlineStr">
        <is>
          <t>United States of America</t>
        </is>
      </c>
      <c r="B80" s="74">
        <f>SUMIFS(Financials!$J:$J,Financials!$A:$A,Calc!$B$2,Financials!$C:$C,Calc!$B$4,Financials!$P:$P,"&gt;="&amp;Calc!$B$5,Financials!$P:$P,"&lt;="&amp;Calc!$B$6,Financials!$B:$B,"*"&amp;$A80&amp;"*")</f>
        <v/>
      </c>
      <c r="C80" s="74">
        <f>SUMIFS(Financials!$L:$L,Financials!$A:$A,Calc!$B$2,Financials!$C:$C,Calc!$B$4,Financials!$P:$P,"&gt;="&amp;Calc!$B$5,Financials!$P:$P,"&lt;="&amp;Calc!$B$6,Financials!$B:$B,"*"&amp;$A80&amp;"*")</f>
        <v/>
      </c>
      <c r="D80" s="75">
        <f>IFERROR(C80/B80,"")</f>
        <v/>
      </c>
      <c r="E80" s="78">
        <f>MAX(C80,0)/1000000</f>
        <v/>
      </c>
      <c r="F80" s="78">
        <f>MIN(C80,0)/1000000</f>
        <v/>
      </c>
      <c r="G80" s="75">
        <f>IFERROR(C80/SUM($C$76:$C$80),"")</f>
        <v/>
      </c>
    </row>
    <row r="84">
      <c r="A84" s="73" t="inlineStr">
        <is>
          <t>Discount band (ignores nothing but band)</t>
        </is>
      </c>
    </row>
    <row r="85">
      <c r="A85" s="73" t="inlineStr">
        <is>
          <t>Band</t>
        </is>
      </c>
      <c r="B85" s="73" t="inlineStr">
        <is>
          <t>Net sales</t>
        </is>
      </c>
      <c r="C85" s="73" t="inlineStr">
        <is>
          <t>Profit</t>
        </is>
      </c>
      <c r="D85" s="73" t="inlineStr">
        <is>
          <t>Profit margin</t>
        </is>
      </c>
      <c r="E85" s="73" t="inlineStr">
        <is>
          <t>Discount rate</t>
        </is>
      </c>
      <c r="F85" s="73" t="inlineStr">
        <is>
          <t>Orders</t>
        </is>
      </c>
    </row>
    <row r="86">
      <c r="A86" s="72" t="inlineStr">
        <is>
          <t>None</t>
        </is>
      </c>
      <c r="B86" s="74">
        <f>SUMIFS(Financials!$J:$J,Financials!$A:$A,Calc!$B$2,Financials!$B:$B,Calc!$B$3,Financials!$C:$C,Calc!$B$4,Financials!$P:$P,"&gt;="&amp;Calc!$B$5,Financials!$P:$P,"&lt;="&amp;Calc!$B$6,Financials!$D:$D,"*"&amp;$A86&amp;"*")</f>
        <v/>
      </c>
      <c r="C86" s="74">
        <f>SUMIFS(Financials!$L:$L,Financials!$A:$A,Calc!$B$2,Financials!$B:$B,Calc!$B$3,Financials!$C:$C,Calc!$B$4,Financials!$P:$P,"&gt;="&amp;Calc!$B$5,Financials!$P:$P,"&lt;="&amp;Calc!$B$6,Financials!$D:$D,"*"&amp;$A86&amp;"*")</f>
        <v/>
      </c>
      <c r="D86" s="75">
        <f>IFERROR(C86/B86,0)</f>
        <v/>
      </c>
      <c r="E86" s="75">
        <f>IFERROR(SUMIFS(Financials!$I:$I,Financials!$A:$A,Calc!$B$2,Financials!$B:$B,Calc!$B$3,Financials!$C:$C,Calc!$B$4,Financials!$P:$P,"&gt;="&amp;Calc!$B$5,Financials!$P:$P,"&lt;="&amp;Calc!$B$6,Financials!$D:$D,"*"&amp;$A86&amp;"*")/SUMIFS(Financials!$H:$H,Financials!$A:$A,Calc!$B$2,Financials!$B:$B,Calc!$B$3,Financials!$C:$C,Calc!$B$4,Financials!$P:$P,"&gt;="&amp;Calc!$B$5,Financials!$P:$P,"&lt;="&amp;Calc!$B$6,Financials!$D:$D,"*"&amp;$A86&amp;"*"),0)</f>
        <v/>
      </c>
      <c r="F86" s="74">
        <f>COUNTIFS(Financials!$A:$A,Calc!$B$2,Financials!$B:$B,Calc!$B$3,Financials!$C:$C,Calc!$B$4,Financials!$P:$P,"&gt;="&amp;Calc!$B$5,Financials!$P:$P,"&lt;="&amp;Calc!$B$6,Financials!$D:$D,"*"&amp;$A86&amp;"*")</f>
        <v/>
      </c>
    </row>
    <row r="87">
      <c r="A87" s="72" t="inlineStr">
        <is>
          <t>Low</t>
        </is>
      </c>
      <c r="B87" s="74">
        <f>SUMIFS(Financials!$J:$J,Financials!$A:$A,Calc!$B$2,Financials!$B:$B,Calc!$B$3,Financials!$C:$C,Calc!$B$4,Financials!$P:$P,"&gt;="&amp;Calc!$B$5,Financials!$P:$P,"&lt;="&amp;Calc!$B$6,Financials!$D:$D,"*"&amp;$A87&amp;"*")</f>
        <v/>
      </c>
      <c r="C87" s="74">
        <f>SUMIFS(Financials!$L:$L,Financials!$A:$A,Calc!$B$2,Financials!$B:$B,Calc!$B$3,Financials!$C:$C,Calc!$B$4,Financials!$P:$P,"&gt;="&amp;Calc!$B$5,Financials!$P:$P,"&lt;="&amp;Calc!$B$6,Financials!$D:$D,"*"&amp;$A87&amp;"*")</f>
        <v/>
      </c>
      <c r="D87" s="75">
        <f>IFERROR(C87/B87,0)</f>
        <v/>
      </c>
      <c r="E87" s="75">
        <f>IFERROR(SUMIFS(Financials!$I:$I,Financials!$A:$A,Calc!$B$2,Financials!$B:$B,Calc!$B$3,Financials!$C:$C,Calc!$B$4,Financials!$P:$P,"&gt;="&amp;Calc!$B$5,Financials!$P:$P,"&lt;="&amp;Calc!$B$6,Financials!$D:$D,"*"&amp;$A87&amp;"*")/SUMIFS(Financials!$H:$H,Financials!$A:$A,Calc!$B$2,Financials!$B:$B,Calc!$B$3,Financials!$C:$C,Calc!$B$4,Financials!$P:$P,"&gt;="&amp;Calc!$B$5,Financials!$P:$P,"&lt;="&amp;Calc!$B$6,Financials!$D:$D,"*"&amp;$A87&amp;"*"),0)</f>
        <v/>
      </c>
      <c r="F87" s="74">
        <f>COUNTIFS(Financials!$A:$A,Calc!$B$2,Financials!$B:$B,Calc!$B$3,Financials!$C:$C,Calc!$B$4,Financials!$P:$P,"&gt;="&amp;Calc!$B$5,Financials!$P:$P,"&lt;="&amp;Calc!$B$6,Financials!$D:$D,"*"&amp;$A87&amp;"*")</f>
        <v/>
      </c>
    </row>
    <row r="88">
      <c r="A88" s="72" t="inlineStr">
        <is>
          <t>Medium</t>
        </is>
      </c>
      <c r="B88" s="74">
        <f>SUMIFS(Financials!$J:$J,Financials!$A:$A,Calc!$B$2,Financials!$B:$B,Calc!$B$3,Financials!$C:$C,Calc!$B$4,Financials!$P:$P,"&gt;="&amp;Calc!$B$5,Financials!$P:$P,"&lt;="&amp;Calc!$B$6,Financials!$D:$D,"*"&amp;$A88&amp;"*")</f>
        <v/>
      </c>
      <c r="C88" s="74">
        <f>SUMIFS(Financials!$L:$L,Financials!$A:$A,Calc!$B$2,Financials!$B:$B,Calc!$B$3,Financials!$C:$C,Calc!$B$4,Financials!$P:$P,"&gt;="&amp;Calc!$B$5,Financials!$P:$P,"&lt;="&amp;Calc!$B$6,Financials!$D:$D,"*"&amp;$A88&amp;"*")</f>
        <v/>
      </c>
      <c r="D88" s="75">
        <f>IFERROR(C88/B88,0)</f>
        <v/>
      </c>
      <c r="E88" s="75">
        <f>IFERROR(SUMIFS(Financials!$I:$I,Financials!$A:$A,Calc!$B$2,Financials!$B:$B,Calc!$B$3,Financials!$C:$C,Calc!$B$4,Financials!$P:$P,"&gt;="&amp;Calc!$B$5,Financials!$P:$P,"&lt;="&amp;Calc!$B$6,Financials!$D:$D,"*"&amp;$A88&amp;"*")/SUMIFS(Financials!$H:$H,Financials!$A:$A,Calc!$B$2,Financials!$B:$B,Calc!$B$3,Financials!$C:$C,Calc!$B$4,Financials!$P:$P,"&gt;="&amp;Calc!$B$5,Financials!$P:$P,"&lt;="&amp;Calc!$B$6,Financials!$D:$D,"*"&amp;$A88&amp;"*"),0)</f>
        <v/>
      </c>
      <c r="F88" s="74">
        <f>COUNTIFS(Financials!$A:$A,Calc!$B$2,Financials!$B:$B,Calc!$B$3,Financials!$C:$C,Calc!$B$4,Financials!$P:$P,"&gt;="&amp;Calc!$B$5,Financials!$P:$P,"&lt;="&amp;Calc!$B$6,Financials!$D:$D,"*"&amp;$A88&amp;"*")</f>
        <v/>
      </c>
    </row>
    <row r="89">
      <c r="A89" s="72" t="inlineStr">
        <is>
          <t>High</t>
        </is>
      </c>
      <c r="B89" s="74">
        <f>SUMIFS(Financials!$J:$J,Financials!$A:$A,Calc!$B$2,Financials!$B:$B,Calc!$B$3,Financials!$C:$C,Calc!$B$4,Financials!$P:$P,"&gt;="&amp;Calc!$B$5,Financials!$P:$P,"&lt;="&amp;Calc!$B$6,Financials!$D:$D,"*"&amp;$A89&amp;"*")</f>
        <v/>
      </c>
      <c r="C89" s="74">
        <f>SUMIFS(Financials!$L:$L,Financials!$A:$A,Calc!$B$2,Financials!$B:$B,Calc!$B$3,Financials!$C:$C,Calc!$B$4,Financials!$P:$P,"&gt;="&amp;Calc!$B$5,Financials!$P:$P,"&lt;="&amp;Calc!$B$6,Financials!$D:$D,"*"&amp;$A89&amp;"*")</f>
        <v/>
      </c>
      <c r="D89" s="75">
        <f>IFERROR(C89/B89,0)</f>
        <v/>
      </c>
      <c r="E89" s="75">
        <f>IFERROR(SUMIFS(Financials!$I:$I,Financials!$A:$A,Calc!$B$2,Financials!$B:$B,Calc!$B$3,Financials!$C:$C,Calc!$B$4,Financials!$P:$P,"&gt;="&amp;Calc!$B$5,Financials!$P:$P,"&lt;="&amp;Calc!$B$6,Financials!$D:$D,"*"&amp;$A89&amp;"*")/SUMIFS(Financials!$H:$H,Financials!$A:$A,Calc!$B$2,Financials!$B:$B,Calc!$B$3,Financials!$C:$C,Calc!$B$4,Financials!$P:$P,"&gt;="&amp;Calc!$B$5,Financials!$P:$P,"&lt;="&amp;Calc!$B$6,Financials!$D:$D,"*"&amp;$A89&amp;"*"),0)</f>
        <v/>
      </c>
      <c r="F89" s="74">
        <f>COUNTIFS(Financials!$A:$A,Calc!$B$2,Financials!$B:$B,Calc!$B$3,Financials!$C:$C,Calc!$B$4,Financials!$P:$P,"&gt;="&amp;Calc!$B$5,Financials!$P:$P,"&lt;="&amp;Calc!$B$6,Financials!$D:$D,"*"&amp;$A89&amp;"*")</f>
        <v/>
      </c>
    </row>
    <row r="92">
      <c r="A92" s="73" t="inlineStr">
        <is>
          <t>Profit margin: segment × discount band (ignores Segment filter; respects Country/Product/Period)</t>
        </is>
      </c>
    </row>
    <row r="93">
      <c r="B93" s="73" t="inlineStr">
        <is>
          <t>None</t>
        </is>
      </c>
      <c r="C93" s="73" t="inlineStr">
        <is>
          <t>Low</t>
        </is>
      </c>
      <c r="D93" s="73" t="inlineStr">
        <is>
          <t>Medium</t>
        </is>
      </c>
      <c r="E93" s="73" t="inlineStr">
        <is>
          <t>High</t>
        </is>
      </c>
      <c r="F93" s="73" t="inlineStr">
        <is>
          <t>All bands</t>
        </is>
      </c>
    </row>
    <row r="94">
      <c r="A94" s="72" t="inlineStr">
        <is>
          <t>Government</t>
        </is>
      </c>
      <c r="B94" s="75">
        <f>IFERROR(SUMIFS(Financials!$L:$L,Financials!$B:$B,Calc!$B$3,Financials!$C:$C,Calc!$B$4,Financials!$P:$P,"&gt;="&amp;Calc!$B$5,Financials!$P:$P,"&lt;="&amp;Calc!$B$6,Financials!$A:$A,"*"&amp;$A94&amp;"*",Financials!$D:$D,"*"&amp;B$93&amp;"*")/SUMIFS(Financials!$J:$J,Financials!$B:$B,Calc!$B$3,Financials!$C:$C,Calc!$B$4,Financials!$P:$P,"&gt;="&amp;Calc!$B$5,Financials!$P:$P,"&lt;="&amp;Calc!$B$6,Financials!$A:$A,"*"&amp;$A94&amp;"*",Financials!$D:$D,"*"&amp;B$93&amp;"*"),"")</f>
        <v/>
      </c>
      <c r="C94" s="75">
        <f>IFERROR(SUMIFS(Financials!$L:$L,Financials!$B:$B,Calc!$B$3,Financials!$C:$C,Calc!$B$4,Financials!$P:$P,"&gt;="&amp;Calc!$B$5,Financials!$P:$P,"&lt;="&amp;Calc!$B$6,Financials!$A:$A,"*"&amp;$A94&amp;"*",Financials!$D:$D,"*"&amp;C$93&amp;"*")/SUMIFS(Financials!$J:$J,Financials!$B:$B,Calc!$B$3,Financials!$C:$C,Calc!$B$4,Financials!$P:$P,"&gt;="&amp;Calc!$B$5,Financials!$P:$P,"&lt;="&amp;Calc!$B$6,Financials!$A:$A,"*"&amp;$A94&amp;"*",Financials!$D:$D,"*"&amp;C$93&amp;"*"),"")</f>
        <v/>
      </c>
      <c r="D94" s="75">
        <f>IFERROR(SUMIFS(Financials!$L:$L,Financials!$B:$B,Calc!$B$3,Financials!$C:$C,Calc!$B$4,Financials!$P:$P,"&gt;="&amp;Calc!$B$5,Financials!$P:$P,"&lt;="&amp;Calc!$B$6,Financials!$A:$A,"*"&amp;$A94&amp;"*",Financials!$D:$D,"*"&amp;D$93&amp;"*")/SUMIFS(Financials!$J:$J,Financials!$B:$B,Calc!$B$3,Financials!$C:$C,Calc!$B$4,Financials!$P:$P,"&gt;="&amp;Calc!$B$5,Financials!$P:$P,"&lt;="&amp;Calc!$B$6,Financials!$A:$A,"*"&amp;$A94&amp;"*",Financials!$D:$D,"*"&amp;D$93&amp;"*"),"")</f>
        <v/>
      </c>
      <c r="E94" s="75">
        <f>IFERROR(SUMIFS(Financials!$L:$L,Financials!$B:$B,Calc!$B$3,Financials!$C:$C,Calc!$B$4,Financials!$P:$P,"&gt;="&amp;Calc!$B$5,Financials!$P:$P,"&lt;="&amp;Calc!$B$6,Financials!$A:$A,"*"&amp;$A94&amp;"*",Financials!$D:$D,"*"&amp;E$93&amp;"*")/SUMIFS(Financials!$J:$J,Financials!$B:$B,Calc!$B$3,Financials!$C:$C,Calc!$B$4,Financials!$P:$P,"&gt;="&amp;Calc!$B$5,Financials!$P:$P,"&lt;="&amp;Calc!$B$6,Financials!$A:$A,"*"&amp;$A94&amp;"*",Financials!$D:$D,"*"&amp;E$93&amp;"*"),"")</f>
        <v/>
      </c>
      <c r="F94" s="75">
        <f>IFERROR(SUMIFS(Financials!$L:$L,Financials!$B:$B,Calc!$B$3,Financials!$C:$C,Calc!$B$4,Financials!$P:$P,"&gt;="&amp;Calc!$B$5,Financials!$P:$P,"&lt;="&amp;Calc!$B$6,Financials!$A:$A,"*"&amp;$A94&amp;"*")/SUMIFS(Financials!$J:$J,Financials!$B:$B,Calc!$B$3,Financials!$C:$C,Calc!$B$4,Financials!$P:$P,"&gt;="&amp;Calc!$B$5,Financials!$P:$P,"&lt;="&amp;Calc!$B$6,Financials!$A:$A,"*"&amp;$A94&amp;"*"),"")</f>
        <v/>
      </c>
    </row>
    <row r="95">
      <c r="A95" s="72" t="inlineStr">
        <is>
          <t>Small Business</t>
        </is>
      </c>
      <c r="B95" s="75">
        <f>IFERROR(SUMIFS(Financials!$L:$L,Financials!$B:$B,Calc!$B$3,Financials!$C:$C,Calc!$B$4,Financials!$P:$P,"&gt;="&amp;Calc!$B$5,Financials!$P:$P,"&lt;="&amp;Calc!$B$6,Financials!$A:$A,"*"&amp;$A95&amp;"*",Financials!$D:$D,"*"&amp;B$93&amp;"*")/SUMIFS(Financials!$J:$J,Financials!$B:$B,Calc!$B$3,Financials!$C:$C,Calc!$B$4,Financials!$P:$P,"&gt;="&amp;Calc!$B$5,Financials!$P:$P,"&lt;="&amp;Calc!$B$6,Financials!$A:$A,"*"&amp;$A95&amp;"*",Financials!$D:$D,"*"&amp;B$93&amp;"*"),"")</f>
        <v/>
      </c>
      <c r="C95" s="75">
        <f>IFERROR(SUMIFS(Financials!$L:$L,Financials!$B:$B,Calc!$B$3,Financials!$C:$C,Calc!$B$4,Financials!$P:$P,"&gt;="&amp;Calc!$B$5,Financials!$P:$P,"&lt;="&amp;Calc!$B$6,Financials!$A:$A,"*"&amp;$A95&amp;"*",Financials!$D:$D,"*"&amp;C$93&amp;"*")/SUMIFS(Financials!$J:$J,Financials!$B:$B,Calc!$B$3,Financials!$C:$C,Calc!$B$4,Financials!$P:$P,"&gt;="&amp;Calc!$B$5,Financials!$P:$P,"&lt;="&amp;Calc!$B$6,Financials!$A:$A,"*"&amp;$A95&amp;"*",Financials!$D:$D,"*"&amp;C$93&amp;"*"),"")</f>
        <v/>
      </c>
      <c r="D95" s="75">
        <f>IFERROR(SUMIFS(Financials!$L:$L,Financials!$B:$B,Calc!$B$3,Financials!$C:$C,Calc!$B$4,Financials!$P:$P,"&gt;="&amp;Calc!$B$5,Financials!$P:$P,"&lt;="&amp;Calc!$B$6,Financials!$A:$A,"*"&amp;$A95&amp;"*",Financials!$D:$D,"*"&amp;D$93&amp;"*")/SUMIFS(Financials!$J:$J,Financials!$B:$B,Calc!$B$3,Financials!$C:$C,Calc!$B$4,Financials!$P:$P,"&gt;="&amp;Calc!$B$5,Financials!$P:$P,"&lt;="&amp;Calc!$B$6,Financials!$A:$A,"*"&amp;$A95&amp;"*",Financials!$D:$D,"*"&amp;D$93&amp;"*"),"")</f>
        <v/>
      </c>
      <c r="E95" s="75">
        <f>IFERROR(SUMIFS(Financials!$L:$L,Financials!$B:$B,Calc!$B$3,Financials!$C:$C,Calc!$B$4,Financials!$P:$P,"&gt;="&amp;Calc!$B$5,Financials!$P:$P,"&lt;="&amp;Calc!$B$6,Financials!$A:$A,"*"&amp;$A95&amp;"*",Financials!$D:$D,"*"&amp;E$93&amp;"*")/SUMIFS(Financials!$J:$J,Financials!$B:$B,Calc!$B$3,Financials!$C:$C,Calc!$B$4,Financials!$P:$P,"&gt;="&amp;Calc!$B$5,Financials!$P:$P,"&lt;="&amp;Calc!$B$6,Financials!$A:$A,"*"&amp;$A95&amp;"*",Financials!$D:$D,"*"&amp;E$93&amp;"*"),"")</f>
        <v/>
      </c>
      <c r="F95" s="75">
        <f>IFERROR(SUMIFS(Financials!$L:$L,Financials!$B:$B,Calc!$B$3,Financials!$C:$C,Calc!$B$4,Financials!$P:$P,"&gt;="&amp;Calc!$B$5,Financials!$P:$P,"&lt;="&amp;Calc!$B$6,Financials!$A:$A,"*"&amp;$A95&amp;"*")/SUMIFS(Financials!$J:$J,Financials!$B:$B,Calc!$B$3,Financials!$C:$C,Calc!$B$4,Financials!$P:$P,"&gt;="&amp;Calc!$B$5,Financials!$P:$P,"&lt;="&amp;Calc!$B$6,Financials!$A:$A,"*"&amp;$A95&amp;"*"),"")</f>
        <v/>
      </c>
    </row>
    <row r="96">
      <c r="A96" s="72" t="inlineStr">
        <is>
          <t>Enterprise</t>
        </is>
      </c>
      <c r="B96" s="75">
        <f>IFERROR(SUMIFS(Financials!$L:$L,Financials!$B:$B,Calc!$B$3,Financials!$C:$C,Calc!$B$4,Financials!$P:$P,"&gt;="&amp;Calc!$B$5,Financials!$P:$P,"&lt;="&amp;Calc!$B$6,Financials!$A:$A,"*"&amp;$A96&amp;"*",Financials!$D:$D,"*"&amp;B$93&amp;"*")/SUMIFS(Financials!$J:$J,Financials!$B:$B,Calc!$B$3,Financials!$C:$C,Calc!$B$4,Financials!$P:$P,"&gt;="&amp;Calc!$B$5,Financials!$P:$P,"&lt;="&amp;Calc!$B$6,Financials!$A:$A,"*"&amp;$A96&amp;"*",Financials!$D:$D,"*"&amp;B$93&amp;"*"),"")</f>
        <v/>
      </c>
      <c r="C96" s="75">
        <f>IFERROR(SUMIFS(Financials!$L:$L,Financials!$B:$B,Calc!$B$3,Financials!$C:$C,Calc!$B$4,Financials!$P:$P,"&gt;="&amp;Calc!$B$5,Financials!$P:$P,"&lt;="&amp;Calc!$B$6,Financials!$A:$A,"*"&amp;$A96&amp;"*",Financials!$D:$D,"*"&amp;C$93&amp;"*")/SUMIFS(Financials!$J:$J,Financials!$B:$B,Calc!$B$3,Financials!$C:$C,Calc!$B$4,Financials!$P:$P,"&gt;="&amp;Calc!$B$5,Financials!$P:$P,"&lt;="&amp;Calc!$B$6,Financials!$A:$A,"*"&amp;$A96&amp;"*",Financials!$D:$D,"*"&amp;C$93&amp;"*"),"")</f>
        <v/>
      </c>
      <c r="D96" s="75">
        <f>IFERROR(SUMIFS(Financials!$L:$L,Financials!$B:$B,Calc!$B$3,Financials!$C:$C,Calc!$B$4,Financials!$P:$P,"&gt;="&amp;Calc!$B$5,Financials!$P:$P,"&lt;="&amp;Calc!$B$6,Financials!$A:$A,"*"&amp;$A96&amp;"*",Financials!$D:$D,"*"&amp;D$93&amp;"*")/SUMIFS(Financials!$J:$J,Financials!$B:$B,Calc!$B$3,Financials!$C:$C,Calc!$B$4,Financials!$P:$P,"&gt;="&amp;Calc!$B$5,Financials!$P:$P,"&lt;="&amp;Calc!$B$6,Financials!$A:$A,"*"&amp;$A96&amp;"*",Financials!$D:$D,"*"&amp;D$93&amp;"*"),"")</f>
        <v/>
      </c>
      <c r="E96" s="75">
        <f>IFERROR(SUMIFS(Financials!$L:$L,Financials!$B:$B,Calc!$B$3,Financials!$C:$C,Calc!$B$4,Financials!$P:$P,"&gt;="&amp;Calc!$B$5,Financials!$P:$P,"&lt;="&amp;Calc!$B$6,Financials!$A:$A,"*"&amp;$A96&amp;"*",Financials!$D:$D,"*"&amp;E$93&amp;"*")/SUMIFS(Financials!$J:$J,Financials!$B:$B,Calc!$B$3,Financials!$C:$C,Calc!$B$4,Financials!$P:$P,"&gt;="&amp;Calc!$B$5,Financials!$P:$P,"&lt;="&amp;Calc!$B$6,Financials!$A:$A,"*"&amp;$A96&amp;"*",Financials!$D:$D,"*"&amp;E$93&amp;"*"),"")</f>
        <v/>
      </c>
      <c r="F96" s="75">
        <f>IFERROR(SUMIFS(Financials!$L:$L,Financials!$B:$B,Calc!$B$3,Financials!$C:$C,Calc!$B$4,Financials!$P:$P,"&gt;="&amp;Calc!$B$5,Financials!$P:$P,"&lt;="&amp;Calc!$B$6,Financials!$A:$A,"*"&amp;$A96&amp;"*")/SUMIFS(Financials!$J:$J,Financials!$B:$B,Calc!$B$3,Financials!$C:$C,Calc!$B$4,Financials!$P:$P,"&gt;="&amp;Calc!$B$5,Financials!$P:$P,"&lt;="&amp;Calc!$B$6,Financials!$A:$A,"*"&amp;$A96&amp;"*"),"")</f>
        <v/>
      </c>
    </row>
    <row r="97">
      <c r="A97" s="72" t="inlineStr">
        <is>
          <t>Midmarket</t>
        </is>
      </c>
      <c r="B97" s="75">
        <f>IFERROR(SUMIFS(Financials!$L:$L,Financials!$B:$B,Calc!$B$3,Financials!$C:$C,Calc!$B$4,Financials!$P:$P,"&gt;="&amp;Calc!$B$5,Financials!$P:$P,"&lt;="&amp;Calc!$B$6,Financials!$A:$A,"*"&amp;$A97&amp;"*",Financials!$D:$D,"*"&amp;B$93&amp;"*")/SUMIFS(Financials!$J:$J,Financials!$B:$B,Calc!$B$3,Financials!$C:$C,Calc!$B$4,Financials!$P:$P,"&gt;="&amp;Calc!$B$5,Financials!$P:$P,"&lt;="&amp;Calc!$B$6,Financials!$A:$A,"*"&amp;$A97&amp;"*",Financials!$D:$D,"*"&amp;B$93&amp;"*"),"")</f>
        <v/>
      </c>
      <c r="C97" s="75">
        <f>IFERROR(SUMIFS(Financials!$L:$L,Financials!$B:$B,Calc!$B$3,Financials!$C:$C,Calc!$B$4,Financials!$P:$P,"&gt;="&amp;Calc!$B$5,Financials!$P:$P,"&lt;="&amp;Calc!$B$6,Financials!$A:$A,"*"&amp;$A97&amp;"*",Financials!$D:$D,"*"&amp;C$93&amp;"*")/SUMIFS(Financials!$J:$J,Financials!$B:$B,Calc!$B$3,Financials!$C:$C,Calc!$B$4,Financials!$P:$P,"&gt;="&amp;Calc!$B$5,Financials!$P:$P,"&lt;="&amp;Calc!$B$6,Financials!$A:$A,"*"&amp;$A97&amp;"*",Financials!$D:$D,"*"&amp;C$93&amp;"*"),"")</f>
        <v/>
      </c>
      <c r="D97" s="75">
        <f>IFERROR(SUMIFS(Financials!$L:$L,Financials!$B:$B,Calc!$B$3,Financials!$C:$C,Calc!$B$4,Financials!$P:$P,"&gt;="&amp;Calc!$B$5,Financials!$P:$P,"&lt;="&amp;Calc!$B$6,Financials!$A:$A,"*"&amp;$A97&amp;"*",Financials!$D:$D,"*"&amp;D$93&amp;"*")/SUMIFS(Financials!$J:$J,Financials!$B:$B,Calc!$B$3,Financials!$C:$C,Calc!$B$4,Financials!$P:$P,"&gt;="&amp;Calc!$B$5,Financials!$P:$P,"&lt;="&amp;Calc!$B$6,Financials!$A:$A,"*"&amp;$A97&amp;"*",Financials!$D:$D,"*"&amp;D$93&amp;"*"),"")</f>
        <v/>
      </c>
      <c r="E97" s="75">
        <f>IFERROR(SUMIFS(Financials!$L:$L,Financials!$B:$B,Calc!$B$3,Financials!$C:$C,Calc!$B$4,Financials!$P:$P,"&gt;="&amp;Calc!$B$5,Financials!$P:$P,"&lt;="&amp;Calc!$B$6,Financials!$A:$A,"*"&amp;$A97&amp;"*",Financials!$D:$D,"*"&amp;E$93&amp;"*")/SUMIFS(Financials!$J:$J,Financials!$B:$B,Calc!$B$3,Financials!$C:$C,Calc!$B$4,Financials!$P:$P,"&gt;="&amp;Calc!$B$5,Financials!$P:$P,"&lt;="&amp;Calc!$B$6,Financials!$A:$A,"*"&amp;$A97&amp;"*",Financials!$D:$D,"*"&amp;E$93&amp;"*"),"")</f>
        <v/>
      </c>
      <c r="F97" s="75">
        <f>IFERROR(SUMIFS(Financials!$L:$L,Financials!$B:$B,Calc!$B$3,Financials!$C:$C,Calc!$B$4,Financials!$P:$P,"&gt;="&amp;Calc!$B$5,Financials!$P:$P,"&lt;="&amp;Calc!$B$6,Financials!$A:$A,"*"&amp;$A97&amp;"*")/SUMIFS(Financials!$J:$J,Financials!$B:$B,Calc!$B$3,Financials!$C:$C,Calc!$B$4,Financials!$P:$P,"&gt;="&amp;Calc!$B$5,Financials!$P:$P,"&lt;="&amp;Calc!$B$6,Financials!$A:$A,"*"&amp;$A97&amp;"*"),"")</f>
        <v/>
      </c>
    </row>
    <row r="98">
      <c r="A98" s="72" t="inlineStr">
        <is>
          <t>Channel Partners</t>
        </is>
      </c>
      <c r="B98" s="75">
        <f>IFERROR(SUMIFS(Financials!$L:$L,Financials!$B:$B,Calc!$B$3,Financials!$C:$C,Calc!$B$4,Financials!$P:$P,"&gt;="&amp;Calc!$B$5,Financials!$P:$P,"&lt;="&amp;Calc!$B$6,Financials!$A:$A,"*"&amp;$A98&amp;"*",Financials!$D:$D,"*"&amp;B$93&amp;"*")/SUMIFS(Financials!$J:$J,Financials!$B:$B,Calc!$B$3,Financials!$C:$C,Calc!$B$4,Financials!$P:$P,"&gt;="&amp;Calc!$B$5,Financials!$P:$P,"&lt;="&amp;Calc!$B$6,Financials!$A:$A,"*"&amp;$A98&amp;"*",Financials!$D:$D,"*"&amp;B$93&amp;"*"),"")</f>
        <v/>
      </c>
      <c r="C98" s="75">
        <f>IFERROR(SUMIFS(Financials!$L:$L,Financials!$B:$B,Calc!$B$3,Financials!$C:$C,Calc!$B$4,Financials!$P:$P,"&gt;="&amp;Calc!$B$5,Financials!$P:$P,"&lt;="&amp;Calc!$B$6,Financials!$A:$A,"*"&amp;$A98&amp;"*",Financials!$D:$D,"*"&amp;C$93&amp;"*")/SUMIFS(Financials!$J:$J,Financials!$B:$B,Calc!$B$3,Financials!$C:$C,Calc!$B$4,Financials!$P:$P,"&gt;="&amp;Calc!$B$5,Financials!$P:$P,"&lt;="&amp;Calc!$B$6,Financials!$A:$A,"*"&amp;$A98&amp;"*",Financials!$D:$D,"*"&amp;C$93&amp;"*"),"")</f>
        <v/>
      </c>
      <c r="D98" s="75">
        <f>IFERROR(SUMIFS(Financials!$L:$L,Financials!$B:$B,Calc!$B$3,Financials!$C:$C,Calc!$B$4,Financials!$P:$P,"&gt;="&amp;Calc!$B$5,Financials!$P:$P,"&lt;="&amp;Calc!$B$6,Financials!$A:$A,"*"&amp;$A98&amp;"*",Financials!$D:$D,"*"&amp;D$93&amp;"*")/SUMIFS(Financials!$J:$J,Financials!$B:$B,Calc!$B$3,Financials!$C:$C,Calc!$B$4,Financials!$P:$P,"&gt;="&amp;Calc!$B$5,Financials!$P:$P,"&lt;="&amp;Calc!$B$6,Financials!$A:$A,"*"&amp;$A98&amp;"*",Financials!$D:$D,"*"&amp;D$93&amp;"*"),"")</f>
        <v/>
      </c>
      <c r="E98" s="75">
        <f>IFERROR(SUMIFS(Financials!$L:$L,Financials!$B:$B,Calc!$B$3,Financials!$C:$C,Calc!$B$4,Financials!$P:$P,"&gt;="&amp;Calc!$B$5,Financials!$P:$P,"&lt;="&amp;Calc!$B$6,Financials!$A:$A,"*"&amp;$A98&amp;"*",Financials!$D:$D,"*"&amp;E$93&amp;"*")/SUMIFS(Financials!$J:$J,Financials!$B:$B,Calc!$B$3,Financials!$C:$C,Calc!$B$4,Financials!$P:$P,"&gt;="&amp;Calc!$B$5,Financials!$P:$P,"&lt;="&amp;Calc!$B$6,Financials!$A:$A,"*"&amp;$A98&amp;"*",Financials!$D:$D,"*"&amp;E$93&amp;"*"),"")</f>
        <v/>
      </c>
      <c r="F98" s="75">
        <f>IFERROR(SUMIFS(Financials!$L:$L,Financials!$B:$B,Calc!$B$3,Financials!$C:$C,Calc!$B$4,Financials!$P:$P,"&gt;="&amp;Calc!$B$5,Financials!$P:$P,"&lt;="&amp;Calc!$B$6,Financials!$A:$A,"*"&amp;$A98&amp;"*")/SUMIFS(Financials!$J:$J,Financials!$B:$B,Calc!$B$3,Financials!$C:$C,Calc!$B$4,Financials!$P:$P,"&gt;="&amp;Calc!$B$5,Financials!$P:$P,"&lt;="&amp;Calc!$B$6,Financials!$A:$A,"*"&amp;$A98&amp;"*"),"")</f>
        <v/>
      </c>
    </row>
    <row r="99">
      <c r="A99" s="72" t="inlineStr">
        <is>
          <t>All segments</t>
        </is>
      </c>
      <c r="B99" s="75">
        <f>IFERROR(SUMIFS(Financials!$L:$L,Financials!$B:$B,Calc!$B$3,Financials!$C:$C,Calc!$B$4,Financials!$P:$P,"&gt;="&amp;Calc!$B$5,Financials!$P:$P,"&lt;="&amp;Calc!$B$6,Financials!$D:$D,"*"&amp;B$93&amp;"*")/SUMIFS(Financials!$J:$J,Financials!$B:$B,Calc!$B$3,Financials!$C:$C,Calc!$B$4,Financials!$P:$P,"&gt;="&amp;Calc!$B$5,Financials!$P:$P,"&lt;="&amp;Calc!$B$6,Financials!$D:$D,"*"&amp;B$93&amp;"*"),"")</f>
        <v/>
      </c>
      <c r="C99" s="75">
        <f>IFERROR(SUMIFS(Financials!$L:$L,Financials!$B:$B,Calc!$B$3,Financials!$C:$C,Calc!$B$4,Financials!$P:$P,"&gt;="&amp;Calc!$B$5,Financials!$P:$P,"&lt;="&amp;Calc!$B$6,Financials!$D:$D,"*"&amp;C$93&amp;"*")/SUMIFS(Financials!$J:$J,Financials!$B:$B,Calc!$B$3,Financials!$C:$C,Calc!$B$4,Financials!$P:$P,"&gt;="&amp;Calc!$B$5,Financials!$P:$P,"&lt;="&amp;Calc!$B$6,Financials!$D:$D,"*"&amp;C$93&amp;"*"),"")</f>
        <v/>
      </c>
      <c r="D99" s="75">
        <f>IFERROR(SUMIFS(Financials!$L:$L,Financials!$B:$B,Calc!$B$3,Financials!$C:$C,Calc!$B$4,Financials!$P:$P,"&gt;="&amp;Calc!$B$5,Financials!$P:$P,"&lt;="&amp;Calc!$B$6,Financials!$D:$D,"*"&amp;D$93&amp;"*")/SUMIFS(Financials!$J:$J,Financials!$B:$B,Calc!$B$3,Financials!$C:$C,Calc!$B$4,Financials!$P:$P,"&gt;="&amp;Calc!$B$5,Financials!$P:$P,"&lt;="&amp;Calc!$B$6,Financials!$D:$D,"*"&amp;D$93&amp;"*"),"")</f>
        <v/>
      </c>
      <c r="E99" s="75">
        <f>IFERROR(SUMIFS(Financials!$L:$L,Financials!$B:$B,Calc!$B$3,Financials!$C:$C,Calc!$B$4,Financials!$P:$P,"&gt;="&amp;Calc!$B$5,Financials!$P:$P,"&lt;="&amp;Calc!$B$6,Financials!$D:$D,"*"&amp;E$93&amp;"*")/SUMIFS(Financials!$J:$J,Financials!$B:$B,Calc!$B$3,Financials!$C:$C,Calc!$B$4,Financials!$P:$P,"&gt;="&amp;Calc!$B$5,Financials!$P:$P,"&lt;="&amp;Calc!$B$6,Financials!$D:$D,"*"&amp;E$93&amp;"*"),"")</f>
        <v/>
      </c>
      <c r="F99" s="75">
        <f>IFERROR(SUMIFS(Financials!$L:$L,Financials!$B:$B,Calc!$B$3,Financials!$C:$C,Calc!$B$4,Financials!$P:$P,"&gt;="&amp;Calc!$B$5,Financials!$P:$P,"&lt;="&amp;Calc!$B$6)/SUMIFS(Financials!$J:$J,Financials!$B:$B,Calc!$B$3,Financials!$C:$C,Calc!$B$4,Financials!$P:$P,"&gt;="&amp;Calc!$B$5,Financials!$P:$P,"&lt;="&amp;Calc!$B$6),"")</f>
        <v/>
      </c>
    </row>
    <row r="102">
      <c r="A102" s="73" t="inlineStr">
        <is>
          <t>Waterfall: gross sales to profit (all filters applied)</t>
        </is>
      </c>
    </row>
    <row r="103">
      <c r="A103" s="73" t="inlineStr">
        <is>
          <t>Step</t>
        </is>
      </c>
      <c r="B103" s="73" t="inlineStr">
        <is>
          <t>Base (hidden)</t>
        </is>
      </c>
      <c r="C103" s="73" t="inlineStr">
        <is>
          <t>Total</t>
        </is>
      </c>
      <c r="D103" s="73" t="inlineStr">
        <is>
          <t>Deduction</t>
        </is>
      </c>
      <c r="E103" s="73" t="inlineStr">
        <is>
          <t>Deduction below zero</t>
        </is>
      </c>
    </row>
    <row r="104">
      <c r="A104" s="72" t="inlineStr">
        <is>
          <t>Gross sales</t>
        </is>
      </c>
      <c r="B104" s="78" t="n">
        <v>0</v>
      </c>
      <c r="C104" s="78">
        <f>B9/1000000</f>
        <v/>
      </c>
      <c r="D104" s="78" t="n">
        <v>0</v>
      </c>
      <c r="E104" s="78" t="n">
        <v>0</v>
      </c>
    </row>
    <row r="105">
      <c r="A105" s="72" t="inlineStr">
        <is>
          <t>Discounts</t>
        </is>
      </c>
      <c r="B105" s="78">
        <f>B11/1000000</f>
        <v/>
      </c>
      <c r="C105" s="78" t="n">
        <v>0</v>
      </c>
      <c r="D105" s="78">
        <f>B10/1000000</f>
        <v/>
      </c>
      <c r="E105" s="78" t="n">
        <v>0</v>
      </c>
    </row>
    <row r="106">
      <c r="A106" s="72" t="inlineStr">
        <is>
          <t>COGS</t>
        </is>
      </c>
      <c r="B106" s="78">
        <f>MAX(B13,0)/1000000</f>
        <v/>
      </c>
      <c r="C106" s="78" t="n">
        <v>0</v>
      </c>
      <c r="D106" s="78">
        <f>(B11-MAX(B13,0))/1000000</f>
        <v/>
      </c>
      <c r="E106" s="78">
        <f>MIN(B13,0)/1000000</f>
        <v/>
      </c>
    </row>
    <row r="107">
      <c r="A107" s="72" t="inlineStr">
        <is>
          <t>Profit</t>
        </is>
      </c>
      <c r="B107" s="78" t="n">
        <v>0</v>
      </c>
      <c r="C107" s="78">
        <f>B13/1000000</f>
        <v/>
      </c>
      <c r="D107" s="78" t="n">
        <v>0</v>
      </c>
      <c r="E107" s="78" t="n">
        <v>0</v>
      </c>
    </row>
    <row r="110">
      <c r="A110" s="73" t="inlineStr">
        <is>
          <t>Enterprise unit economics (Country/Product/Period filters applied)</t>
        </is>
      </c>
    </row>
    <row r="111">
      <c r="A111" s="72" t="inlineStr">
        <is>
          <t>Avg list price per unit (gross sales ÷ units)</t>
        </is>
      </c>
      <c r="B111" s="79">
        <f>IFERROR(SUMIFS(Financials!$H:$H,Financials!$B:$B,Calc!$B$3,Financials!$C:$C,Calc!$B$4,Financials!$P:$P,"&gt;="&amp;Calc!$B$5,Financials!$P:$P,"&lt;="&amp;Calc!$B$6,Financials!$A:$A,"*Enterprise*")/SUMIFS(Financials!$E:$E,Financials!$B:$B,Calc!$B$3,Financials!$C:$C,Calc!$B$4,Financials!$P:$P,"&gt;="&amp;Calc!$B$5,Financials!$P:$P,"&lt;="&amp;Calc!$B$6,Financials!$A:$A,"*Enterprise*"),0)</f>
        <v/>
      </c>
    </row>
    <row r="112">
      <c r="A112" s="72" t="inlineStr">
        <is>
          <t>Avg COGS per unit</t>
        </is>
      </c>
      <c r="B112" s="79">
        <f>IFERROR(SUMIFS(Financials!$K:$K,Financials!$B:$B,Calc!$B$3,Financials!$C:$C,Calc!$B$4,Financials!$P:$P,"&gt;="&amp;Calc!$B$5,Financials!$P:$P,"&lt;="&amp;Calc!$B$6,Financials!$A:$A,"*Enterprise*")/SUMIFS(Financials!$E:$E,Financials!$B:$B,Calc!$B$3,Financials!$C:$C,Calc!$B$4,Financials!$P:$P,"&gt;="&amp;Calc!$B$5,Financials!$P:$P,"&lt;="&amp;Calc!$B$6,Financials!$A:$A,"*Enterprise*"),0)</f>
        <v/>
      </c>
    </row>
    <row r="113">
      <c r="A113" s="72" t="inlineStr">
        <is>
          <t>Margin before discounts</t>
        </is>
      </c>
      <c r="B113" s="75">
        <f>IFERROR(1-B112/B111,0)</f>
        <v/>
      </c>
    </row>
    <row r="114">
      <c r="A114" s="72" t="inlineStr">
        <is>
          <t>Average discount rate</t>
        </is>
      </c>
      <c r="B114" s="75">
        <f>IFERROR(SUMIFS(Financials!$I:$I,Financials!$B:$B,Calc!$B$3,Financials!$C:$C,Calc!$B$4,Financials!$P:$P,"&gt;="&amp;Calc!$B$5,Financials!$P:$P,"&lt;="&amp;Calc!$B$6,Financials!$A:$A,"*Enterprise*")/SUMIFS(Financials!$H:$H,Financials!$B:$B,Calc!$B$3,Financials!$C:$C,Calc!$B$4,Financials!$P:$P,"&gt;="&amp;Calc!$B$5,Financials!$P:$P,"&lt;="&amp;Calc!$B$6,Financials!$A:$A,"*Enterprise*"),0)</f>
        <v/>
      </c>
    </row>
    <row r="115">
      <c r="A115" s="72" t="inlineStr">
        <is>
          <t>Orders</t>
        </is>
      </c>
      <c r="B115" s="74">
        <f>COUNTIFS(Financials!$B:$B,Calc!$B$3,Financials!$C:$C,Calc!$B$4,Financials!$P:$P,"&gt;="&amp;Calc!$B$5,Financials!$P:$P,"&lt;="&amp;Calc!$B$6,Financials!$A:$A,"*Enterprise*")</f>
        <v/>
      </c>
    </row>
    <row r="116">
      <c r="A116" s="72" t="inlineStr">
        <is>
          <t>Loss-making orders</t>
        </is>
      </c>
      <c r="B116" s="74">
        <f>COUNTIFS(Financials!$B:$B,Calc!$B$3,Financials!$C:$C,Calc!$B$4,Financials!$P:$P,"&gt;="&amp;Calc!$B$5,Financials!$P:$P,"&lt;="&amp;Calc!$B$6,Financials!$A:$A,"*Enterprise*",Financials!$L:$L,"&lt;0")</f>
        <v/>
      </c>
    </row>
    <row r="117">
      <c r="A117" s="72" t="inlineStr">
        <is>
          <t>…of which in Medium/High discount bands</t>
        </is>
      </c>
      <c r="B117" s="74">
        <f>COUNTIFS(Financials!$B:$B,Calc!$B$3,Financials!$C:$C,Calc!$B$4,Financials!$P:$P,"&gt;="&amp;Calc!$B$5,Financials!$P:$P,"&lt;="&amp;Calc!$B$6,Financials!$A:$A,"*Enterprise*",Financials!$L:$L,"&lt;0",Financials!$D:$D,"*High*")+COUNTIFS(Financials!$B:$B,Calc!$B$3,Financials!$C:$C,Calc!$B$4,Financials!$P:$P,"&gt;="&amp;Calc!$B$5,Financials!$P:$P,"&lt;="&amp;Calc!$B$6,Financials!$A:$A,"*Enterprise*",Financials!$L:$L,"&lt;0",Financials!$D:$D,"*Medium*")</f>
        <v/>
      </c>
    </row>
    <row r="121">
      <c r="A121" s="73" t="inlineStr">
        <is>
          <t>Dynamic headlines</t>
        </is>
      </c>
    </row>
    <row r="122">
      <c r="B122" s="72">
        <f>IFERROR("Like-for-like (Sep–Dec) net sales "&amp;TEXT(D24,"+0.0%;-0.0%")&amp;", profit "&amp;TEXT(D25,"+0.0%;-0.0%")&amp;"; margin "&amp;TEXT(B30,"0.0%")&amp;" → "&amp;TEXT(C30,"0.0%")&amp;" ("&amp;TEXT(E30,"+0.0;-0.0")&amp;" pp)","Trend: no comparable Sep–Dec data for the current filters")</f>
        <v/>
      </c>
    </row>
    <row r="123">
      <c r="B123" s="72">
        <f>IFERROR("Per $1 of gross sales: "&amp;TEXT(B10/B9,"$0.00")&amp;" goes to discounts, "&amp;TEXT(B12/B9,"$0.00")&amp;" to COGS, "&amp;TEXT(B13/B9,"$0.00;-$0.00")&amp;" is kept as profit","No sales for the current filters")</f>
        <v/>
      </c>
    </row>
    <row r="124">
      <c r="B124" s="72">
        <f>IFERROR(INDEX(A56:A60,MATCH(MAX(C56:C60),C56:C60,0))&amp;" earns "&amp;TEXT(MAX(C56:C60)/SUM(C56:C60),"0%")&amp;" of profit; "&amp;COUNTIF(C56:C60,"&lt;0")&amp;" segment(s) lose money","No data")</f>
        <v/>
      </c>
    </row>
    <row r="125">
      <c r="B125" s="72">
        <f>IFERROR("Margin falls from "&amp;TEXT(D86,"0.0%")&amp;" with no discount to "&amp;TEXT(D89,"0.0%")&amp;" in the High discount band","Margin by discount band: insufficient data")</f>
        <v/>
      </c>
    </row>
    <row r="126">
      <c r="B126" s="72">
        <f>"Margin by segment and discount band — red cells are loss-making combinations"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80" t="inlineStr">
        <is>
          <t>Period</t>
        </is>
      </c>
      <c r="B1" s="80" t="inlineStr">
        <is>
          <t>Segment</t>
        </is>
      </c>
      <c r="C1" s="80" t="inlineStr">
        <is>
          <t>Country</t>
        </is>
      </c>
      <c r="D1" s="80" t="inlineStr">
        <is>
          <t>Product</t>
        </is>
      </c>
      <c r="F1" s="81" t="inlineStr">
        <is>
          <t>Dropdown options for the Dashboard filters. Add a new value here if new segments/countries/products appear in the data.</t>
        </is>
      </c>
    </row>
    <row r="2">
      <c r="A2" s="82" t="inlineStr">
        <is>
          <t>All</t>
        </is>
      </c>
      <c r="B2" s="82" t="inlineStr">
        <is>
          <t>All</t>
        </is>
      </c>
      <c r="C2" s="82" t="inlineStr">
        <is>
          <t>All</t>
        </is>
      </c>
      <c r="D2" s="82" t="inlineStr">
        <is>
          <t>All</t>
        </is>
      </c>
    </row>
    <row r="3">
      <c r="A3" s="82" t="inlineStr">
        <is>
          <t>2013</t>
        </is>
      </c>
      <c r="B3" s="82" t="inlineStr">
        <is>
          <t>Government</t>
        </is>
      </c>
      <c r="C3" s="82" t="inlineStr">
        <is>
          <t>Canada</t>
        </is>
      </c>
      <c r="D3" s="82" t="inlineStr">
        <is>
          <t>Paseo</t>
        </is>
      </c>
    </row>
    <row r="4">
      <c r="A4" s="82" t="inlineStr">
        <is>
          <t>2014</t>
        </is>
      </c>
      <c r="B4" s="82" t="inlineStr">
        <is>
          <t>Small Business</t>
        </is>
      </c>
      <c r="C4" s="82" t="inlineStr">
        <is>
          <t>France</t>
        </is>
      </c>
      <c r="D4" s="82" t="inlineStr">
        <is>
          <t>VTT</t>
        </is>
      </c>
    </row>
    <row r="5">
      <c r="B5" s="82" t="inlineStr">
        <is>
          <t>Enterprise</t>
        </is>
      </c>
      <c r="C5" s="82" t="inlineStr">
        <is>
          <t>Germany</t>
        </is>
      </c>
      <c r="D5" s="82" t="inlineStr">
        <is>
          <t>Amarilla</t>
        </is>
      </c>
    </row>
    <row r="6">
      <c r="B6" s="82" t="inlineStr">
        <is>
          <t>Midmarket</t>
        </is>
      </c>
      <c r="C6" s="82" t="inlineStr">
        <is>
          <t>Mexico</t>
        </is>
      </c>
      <c r="D6" s="82" t="inlineStr">
        <is>
          <t>Velo</t>
        </is>
      </c>
    </row>
    <row r="7">
      <c r="B7" s="82" t="inlineStr">
        <is>
          <t>Channel Partners</t>
        </is>
      </c>
      <c r="C7" s="82" t="inlineStr">
        <is>
          <t>United States of America</t>
        </is>
      </c>
      <c r="D7" s="82" t="inlineStr">
        <is>
          <t>Montana</t>
        </is>
      </c>
    </row>
    <row r="8">
      <c r="D8" s="82" t="inlineStr">
        <is>
          <t>Carretera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B7785"/>
    <outlinePr summaryBelow="1" summaryRight="1"/>
    <pageSetUpPr/>
  </sheetPr>
  <dimension ref="A1:E35"/>
  <sheetViews>
    <sheetView showGridLines="0" tabSelected="0"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>
      <c r="A1" s="83" t="inlineStr">
        <is>
          <t>Notes: definitions, data quality and validation</t>
        </is>
      </c>
    </row>
    <row r="3">
      <c r="A3" s="84" t="inlineStr">
        <is>
          <t>KPI DEFINITIONS</t>
        </is>
      </c>
    </row>
    <row r="4">
      <c r="A4" s="85" t="inlineStr">
        <is>
          <t>KPI</t>
        </is>
      </c>
      <c r="B4" s="85" t="inlineStr">
        <is>
          <t>Business meaning / formula</t>
        </is>
      </c>
      <c r="C4" s="85" t="inlineStr">
        <is>
          <t>Desirable direction</t>
        </is>
      </c>
      <c r="D4" s="85" t="inlineStr">
        <is>
          <t>Comparison used</t>
        </is>
      </c>
    </row>
    <row r="5">
      <c r="A5" s="86" t="inlineStr">
        <is>
          <t>Net Sales</t>
        </is>
      </c>
      <c r="B5" s="86" t="inlineStr">
        <is>
          <t>Sales column = Gross Sales − Discounts. SUMIFS of Sales.</t>
        </is>
      </c>
      <c r="C5" s="86" t="inlineStr">
        <is>
          <t>Higher</t>
        </is>
      </c>
      <c r="D5" s="86" t="inlineStr">
        <is>
          <t>LFL Sep–Dec 2014 vs 2013 (% change)</t>
        </is>
      </c>
    </row>
    <row r="6">
      <c r="A6" s="86" t="inlineStr">
        <is>
          <t>Profit</t>
        </is>
      </c>
      <c r="B6" s="86" t="inlineStr">
        <is>
          <t>Profit column = Sales − COGS. SUMIFS of Profit.</t>
        </is>
      </c>
      <c r="C6" s="86" t="inlineStr">
        <is>
          <t>Higher</t>
        </is>
      </c>
      <c r="D6" s="86" t="inlineStr">
        <is>
          <t>LFL % change</t>
        </is>
      </c>
    </row>
    <row r="7">
      <c r="A7" s="86" t="inlineStr">
        <is>
          <t>Profit Margin</t>
        </is>
      </c>
      <c r="B7" s="86" t="inlineStr">
        <is>
          <t>Profit ÷ Net Sales (same definition as the Profit_Margin column).</t>
        </is>
      </c>
      <c r="C7" s="86" t="inlineStr">
        <is>
          <t>Higher</t>
        </is>
      </c>
      <c r="D7" s="86" t="inlineStr">
        <is>
          <t>LFL change in percentage points</t>
        </is>
      </c>
    </row>
    <row r="8">
      <c r="A8" s="86" t="inlineStr">
        <is>
          <t>Discount Rate</t>
        </is>
      </c>
      <c r="B8" s="86" t="inlineStr">
        <is>
          <t>Discounts ÷ Gross Sales. Gross-sales base, so it is not distorted by the discount itself.</t>
        </is>
      </c>
      <c r="C8" s="86" t="inlineStr">
        <is>
          <t>Lower (policy lever)</t>
        </is>
      </c>
      <c r="D8" s="86" t="inlineStr">
        <is>
          <t>LFL change in percentage points</t>
        </is>
      </c>
    </row>
    <row r="9">
      <c r="A9" s="86" t="inlineStr">
        <is>
          <t>Units Sold</t>
        </is>
      </c>
      <c r="B9" s="86" t="inlineStr">
        <is>
          <t>Sum of Units_Sold (36 rows have fractional units; kept as reported).</t>
        </is>
      </c>
      <c r="C9" s="86" t="inlineStr">
        <is>
          <t>Higher (alone it says nothing about profit)</t>
        </is>
      </c>
      <c r="D9" s="86" t="inlineStr">
        <is>
          <t>LFL % change</t>
        </is>
      </c>
    </row>
    <row r="10">
      <c r="A10" s="86" t="inlineStr">
        <is>
          <t>Loss-Making Orders</t>
        </is>
      </c>
      <c r="B10" s="86" t="inlineStr">
        <is>
          <t>Sum of negative Profit across orders (Is_Loss = 1); count and share of orders shown beneath.</t>
        </is>
      </c>
      <c r="C10" s="86" t="inlineStr">
        <is>
          <t>Smaller loss</t>
        </is>
      </c>
      <c r="D10" s="86" t="inlineStr">
        <is>
          <t>LFL % change in loss size</t>
        </is>
      </c>
    </row>
    <row r="12">
      <c r="A12" s="84" t="inlineStr">
        <is>
          <t>GRAIN AND DATA QUALITY</t>
        </is>
      </c>
    </row>
    <row r="13" ht="30" customHeight="1">
      <c r="A13" s="86" t="inlineStr">
        <is>
          <t>•</t>
        </is>
      </c>
      <c r="B13" s="86" t="inlineStr">
        <is>
          <t>Grain: one row = one segment × country × product × month sales record (695 rows, no blank cells in the 16 core fields, no duplicate rows).</t>
        </is>
      </c>
    </row>
    <row r="14" ht="30" customHeight="1">
      <c r="A14" s="86" t="inlineStr">
        <is>
          <t>•</t>
        </is>
      </c>
      <c r="B14" s="86" t="inlineStr">
        <is>
          <t>Date column is unreliable: day and month are swapped (the day always equals Month_Number, and the month rarely matches). Year and Month_Number are used for all time analysis; the raw column is untouched.</t>
        </is>
      </c>
    </row>
    <row r="15" ht="30" customHeight="1">
      <c r="A15" s="86" t="inlineStr">
        <is>
          <t>•</t>
        </is>
      </c>
      <c r="B15" s="86" t="inlineStr">
        <is>
          <t>Period: Sep 2013 – Dec 2014. 2013 holds only Sep–Dec (175 rows) so full-year comparison is not valid. Like-for-like Sep–Dec is used instead.</t>
        </is>
      </c>
    </row>
    <row r="16" ht="30" customHeight="1">
      <c r="A16" s="86" t="inlineStr">
        <is>
          <t>•</t>
        </is>
      </c>
      <c r="B16" s="86" t="inlineStr">
        <is>
          <t>Text fields carry stray spaces (e.g. " Paseo "), so filters use wildcard matching.</t>
        </is>
      </c>
    </row>
    <row r="17" ht="30" customHeight="1">
      <c r="A17" s="86" t="inlineStr">
        <is>
          <t>•</t>
        </is>
      </c>
      <c r="B17" s="86" t="inlineStr">
        <is>
          <t>Manufacturing_Price × Units_Sold does not equal COGS, and Sale_Price is a segment-level price tier (Government products at $7, $20 or $350). COGS and Sales are used as reported; no costs were invented.</t>
        </is>
      </c>
    </row>
    <row r="18" ht="30" customHeight="1">
      <c r="A18" s="86" t="inlineStr">
        <is>
          <t>•</t>
        </is>
      </c>
      <c r="B18" s="86" t="inlineStr">
        <is>
          <t>Currency unit is not stated; values are shown with a $ symbol.</t>
        </is>
      </c>
    </row>
    <row r="19" ht="30" customHeight="1">
      <c r="A19" s="86" t="inlineStr">
        <is>
          <t>•</t>
        </is>
      </c>
      <c r="B19" s="86" t="inlineStr">
        <is>
          <t>No targets, budgets or customer-level data exist, so no target comparisons or customer metrics are shown.</t>
        </is>
      </c>
    </row>
    <row r="20" ht="30" customHeight="1">
      <c r="A20" s="86" t="inlineStr">
        <is>
          <t>•</t>
        </is>
      </c>
      <c r="B20" s="86" t="inlineStr">
        <is>
          <t>Arithmetic checks on the source: Gross − Discounts = Sales (max difference 0.01) and Sales − COGS = Profit (max difference ~0) hold for all rows.</t>
        </is>
      </c>
    </row>
    <row r="22">
      <c r="A22" s="84" t="inlineStr">
        <is>
          <t>WHY EACH VISUAL</t>
        </is>
      </c>
    </row>
    <row r="23">
      <c r="A23" s="86" t="inlineStr">
        <is>
          <t>Trend: columns + margin line</t>
        </is>
      </c>
      <c r="B23" s="86" t="inlineStr">
        <is>
          <t>Shows whether sales growth comes with profitability; margin on a separate axis so the two scales are not confused.</t>
        </is>
      </c>
    </row>
    <row r="24">
      <c r="A24" s="86" t="inlineStr">
        <is>
          <t>Waterfall</t>
        </is>
      </c>
      <c r="B24" s="86" t="inlineStr">
        <is>
          <t>The required components exist (gross sales, discounts, COGS, profit), so it explains where each sales dollar goes.</t>
        </is>
      </c>
    </row>
    <row r="25">
      <c r="A25" s="86" t="inlineStr">
        <is>
          <t>Segment bars</t>
        </is>
      </c>
      <c r="B25" s="86" t="inlineStr">
        <is>
          <t>Ranks segments by profit and makes the one loss-making segment visible in red.</t>
        </is>
      </c>
    </row>
    <row r="26">
      <c r="A26" s="86" t="inlineStr">
        <is>
          <t>Discount band columns</t>
        </is>
      </c>
      <c r="B26" s="86" t="inlineStr">
        <is>
          <t>Tests the link between discounting and margin.</t>
        </is>
      </c>
    </row>
    <row r="27">
      <c r="A27" s="86" t="inlineStr">
        <is>
          <t>Heatmap table</t>
        </is>
      </c>
      <c r="B27" s="86" t="inlineStr">
        <is>
          <t>Separates the discount effect from segment mix; losses show as red cells.</t>
        </is>
      </c>
    </row>
    <row r="28">
      <c r="A28" s="86" t="inlineStr">
        <is>
          <t>Enterprise economics table</t>
        </is>
      </c>
      <c r="B28" s="86" t="inlineStr">
        <is>
          <t>Exact values matter here, so a table is clearer than a chart.</t>
        </is>
      </c>
    </row>
    <row r="29">
      <c r="A29" s="86" t="inlineStr">
        <is>
          <t>Product / country tables</t>
        </is>
      </c>
      <c r="B29" s="86" t="inlineStr">
        <is>
          <t>Margins are close, so exact values are more useful than bars.</t>
        </is>
      </c>
    </row>
    <row r="31">
      <c r="A31" s="84" t="inlineStr">
        <is>
          <t>HOW TO USE / REFRESH</t>
        </is>
      </c>
    </row>
    <row r="32" ht="28" customHeight="1">
      <c r="A32" s="86" t="inlineStr">
        <is>
          <t>• Use the four dropdowns on the Dashboard; every KPI, chart and table recalculates. Set all to All to reset.</t>
        </is>
      </c>
    </row>
    <row r="33" ht="28" customHeight="1">
      <c r="A33" s="86" t="inlineStr">
        <is>
          <t>• Formulas read whole columns of the Financials sheet, so appended rows are included. New months need a new row in Calc (monthly block); new segments/countries/products need rows in Lists and Calc.</t>
        </is>
      </c>
    </row>
    <row r="34" ht="28" customHeight="1">
      <c r="A34" s="86" t="inlineStr">
        <is>
          <t>• The dashboard uses formulas rather than PivotTables because slicers and cross-filtering cannot be created reliably outside desktop Excel. The dropdowns replace slicers.</t>
        </is>
      </c>
    </row>
    <row r="35" ht="28" customHeight="1">
      <c r="A35" s="86" t="inlineStr">
        <is>
          <t>• Original sheets (Financials, Detail1, Detail2, Sheet7) are kept as received.</t>
        </is>
      </c>
    </row>
  </sheetData>
  <mergeCells count="19">
    <mergeCell ref="A34:E34"/>
    <mergeCell ref="B15:E15"/>
    <mergeCell ref="B24:E24"/>
    <mergeCell ref="B20:E20"/>
    <mergeCell ref="B26:E26"/>
    <mergeCell ref="B16:E16"/>
    <mergeCell ref="B25:E25"/>
    <mergeCell ref="B18:E18"/>
    <mergeCell ref="B27:E27"/>
    <mergeCell ref="A33:E33"/>
    <mergeCell ref="A32:E32"/>
    <mergeCell ref="B14:E14"/>
    <mergeCell ref="B17:E17"/>
    <mergeCell ref="B23:E23"/>
    <mergeCell ref="A35:E35"/>
    <mergeCell ref="B13:E13"/>
    <mergeCell ref="B29:E29"/>
    <mergeCell ref="B19:E19"/>
    <mergeCell ref="B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nourhan sayed</dc:creator>
  <dcterms:created xmlns:dcterms="http://purl.org/dc/terms/" xmlns:xsi="http://www.w3.org/2001/XMLSchema-instance" xsi:type="dcterms:W3CDTF">2026-10-14T20:57:50Z</dcterms:created>
  <dcterms:modified xmlns:dcterms="http://purl.org/dc/terms/" xmlns:xsi="http://www.w3.org/2001/XMLSchema-instance" xsi:type="dcterms:W3CDTF">2026-10-16T22:40:52Z</dcterms:modified>
  <cp:lastModifiedBy>nourhan sayed</cp:lastModifiedBy>
</cp:coreProperties>
</file>